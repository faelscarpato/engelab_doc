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8f9b804e6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d13c635ed0c45f3"/>
    <x:sheet xmlns:r="http://schemas.openxmlformats.org/officeDocument/2006/relationships" name="Quantitativos" sheetId="2" r:id="R648d4975a1b641eb"/>
    <x:sheet xmlns:r="http://schemas.openxmlformats.org/officeDocument/2006/relationships" name="Vistoria" sheetId="3" r:id="R821929ee3f4e4f00"/>
    <x:sheet xmlns:r="http://schemas.openxmlformats.org/officeDocument/2006/relationships" name="Controle_Elementos" sheetId="4" r:id="R0afa0a80b7374d3f"/>
    <x:sheet xmlns:r="http://schemas.openxmlformats.org/officeDocument/2006/relationships" name="Compatibilizacao" sheetId="5" r:id="Rbc8deb728aa04756"/>
    <x:sheet xmlns:r="http://schemas.openxmlformats.org/officeDocument/2006/relationships" name="Planejamento_Visual" sheetId="6" r:id="R0905bc75f7754abd"/>
    <x:sheet xmlns:r="http://schemas.openxmlformats.org/officeDocument/2006/relationships" name="Listas" sheetId="7" r:id="Radee04be323b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b9e953b2047ba" /><Relationship Type="http://schemas.openxmlformats.org/officeDocument/2006/relationships/theme" Target="/xl/theme/theme1.xml" Id="Rdc2d583bcc0e4464" /><Relationship Type="http://schemas.openxmlformats.org/officeDocument/2006/relationships/sharedStrings" Target="/xl/sharedStrings.xml" Id="R0120a9a57d5641e3" /><Relationship Type="http://schemas.openxmlformats.org/officeDocument/2006/relationships/worksheet" Target="/xl/worksheets/sheet1.xml" Id="R9d13c635ed0c45f3" /><Relationship Type="http://schemas.openxmlformats.org/officeDocument/2006/relationships/worksheet" Target="/xl/worksheets/sheet2.xml" Id="R648d4975a1b641eb" /><Relationship Type="http://schemas.openxmlformats.org/officeDocument/2006/relationships/worksheet" Target="/xl/worksheets/sheet3.xml" Id="R821929ee3f4e4f00" /><Relationship Type="http://schemas.openxmlformats.org/officeDocument/2006/relationships/worksheet" Target="/xl/worksheets/sheet4.xml" Id="R0afa0a80b7374d3f" /><Relationship Type="http://schemas.openxmlformats.org/officeDocument/2006/relationships/worksheet" Target="/xl/worksheets/sheet5.xml" Id="Rbc8deb728aa04756" /><Relationship Type="http://schemas.openxmlformats.org/officeDocument/2006/relationships/worksheet" Target="/xl/worksheets/sheet6.xml" Id="R0905bc75f7754abd" /><Relationship Type="http://schemas.openxmlformats.org/officeDocument/2006/relationships/worksheet" Target="/xl/worksheets/sheet7.xml" Id="Radee04be323b4d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80bbc2fec54d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Projetos por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Projetos</c:v>
          </c:tx>
          <c:cat>
            <c:strRef>
              <c:f>'Resumo'!$D$8:$D$17</c:f>
              <c:strCache>
                <c:ptCount val="0"/>
              </c:strCache>
            </c:strRef>
          </c:cat>
          <c:val>
            <c:numRef>
              <c:f>'Resumo'!$E$8:$E$17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80bbc2fec54d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QuantitativosTable" displayName="QuantitativosTable" ref="A1:N51" headerRowCount="1">
  <x:tableColumns count="14">
    <x:tableColumn id="1" name="Código"/>
    <x:tableColumn id="2" name="Elemento"/>
    <x:tableColumn id="3" name="Categoria"/>
    <x:tableColumn id="4" name="Pavimento/Local"/>
    <x:tableColumn id="5" name="Compr. (m)"/>
    <x:tableColumn id="6" name="Larg. (m)"/>
    <x:tableColumn id="7" name="Alt./Esp. (m)"/>
    <x:tableColumn id="8" name="Qtde"/>
    <x:tableColumn id="9" name="Vol. Concreto (m³)"/>
    <x:tableColumn id="10" name="Área Forma ref. (m²)"/>
    <x:tableColumn id="11" name="Taxa Aço ref. (kg/m³)"/>
    <x:tableColumn id="12" name="Aço ref. (kg)"/>
    <x:tableColumn id="13" name="Status"/>
    <x:tableColumn id="14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3" name="VistoriaTable" displayName="VistoriaTable" ref="A1:J4" headerRowCount="1">
  <x:tableColumns count="10">
    <x:tableColumn id="1" name="ID"/>
    <x:tableColumn id="2" name="Data"/>
    <x:tableColumn id="3" name="Local"/>
    <x:tableColumn id="4" name="Elemento"/>
    <x:tableColumn id="5" name="Sintoma"/>
    <x:tableColumn id="6" name="Severidade preliminar"/>
    <x:tableColumn id="7" name="Registro/Foto"/>
    <x:tableColumn id="8" name="Ação recomendada"/>
    <x:tableColumn id="9" name="Status"/>
    <x:tableColumn id="10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1" name="ControleElementosTable" displayName="ControleElementosTable" ref="A1:J51" headerRowCount="1">
  <x:tableColumns count="10">
    <x:tableColumn id="1" name="Código"/>
    <x:tableColumn id="2" name="Projeto-modelo"/>
    <x:tableColumn id="3" name="Categoria"/>
    <x:tableColumn id="4" name="Descrição"/>
    <x:tableColumn id="5" name="Status"/>
    <x:tableColumn id="6" name="Prioridade"/>
    <x:tableColumn id="7" name="Responsável"/>
    <x:tableColumn id="8" name="Data início"/>
    <x:tableColumn id="9" name="Data revisão"/>
    <x:tableColumn id="10" name="Observações"/>
  </x:tableColumns>
  <x:tableStyleInfo name="TableStyleMedium2" showRowStripes="1"/>
</x:table>
</file>

<file path=xl/tables/table4.xml><?xml version="1.0" encoding="utf-8"?>
<x:table xmlns:x="http://schemas.openxmlformats.org/spreadsheetml/2006/main" id="4" name="CompatibilizacaoTable" displayName="CompatibilizacaoTable" ref="A1:J4" headerRowCount="1">
  <x:tableColumns count="10">
    <x:tableColumn id="1" name="ID"/>
    <x:tableColumn id="2" name="Código"/>
    <x:tableColumn id="3" name="Local"/>
    <x:tableColumn id="4" name="Elemento estrutural"/>
    <x:tableColumn id="5" name="Disciplina em conflito"/>
    <x:tableColumn id="6" name="Descrição do conflito"/>
    <x:tableColumn id="7" name="Impacto"/>
    <x:tableColumn id="8" name="Ação recomendada"/>
    <x:tableColumn id="9" name="Responsável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PlanejamentoVisualTable" displayName="PlanejamentoVisualTable" ref="A1:K51" headerRowCount="1">
  <x:tableColumns count="11">
    <x:tableColumn id="1" name="Código"/>
    <x:tableColumn id="2" name="Título"/>
    <x:tableColumn id="3" name="Categoria"/>
    <x:tableColumn id="4" name="Prompt pronto?"/>
    <x:tableColumn id="5" name="PNG"/>
    <x:tableColumn id="6" name="PDF"/>
    <x:tableColumn id="7" name="DXF/DWG"/>
    <x:tableColumn id="8" name="Revisão visual"/>
    <x:tableColumn id="9" name="Data prevista"/>
    <x:tableColumn id="10" name="Responsável"/>
    <x:tableColumn id="11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7b7d1d70ba48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2876d4b7da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d983f914ed4e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a0b7c105fe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f9fd354e024e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79452878094c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16" t="str">
        <x:v>MÓDULO IA 15 — ESTRUTURAS COM IA</x:v>
      </x:c>
    </x:row>
    <x:row r="3">
      <x:c r="A3" s="22" t="str">
        <x:v>Material educacional/modelo. Não é projeto executivo, laudo, parecer técnico, ART, memorial de cálculo ou documento para execução. Qualquer aplicação real exige validação por profissional habilitado, dados de obra, normas vigentes, sondagem quando aplicável e responsabilidade técnica.</x:v>
      </x:c>
    </x:row>
    <x:row r="7">
      <x:c r="A7" s="6" t="str">
        <x:v>Indicador</x:v>
      </x:c>
      <x:c r="B7" s="6" t="str">
        <x:v>Valor</x:v>
      </x:c>
      <x:c r="D7" s="6" t="str">
        <x:v>Categoria</x:v>
      </x:c>
      <x:c r="E7" s="6" t="str">
        <x:v>Projetos</x:v>
      </x:c>
      <x:c r="F7" s="6" t="str">
        <x:v>Em andamento</x:v>
      </x:c>
      <x:c r="G7" s="6" t="str">
        <x:v>Revisar</x:v>
      </x:c>
      <x:c r="H7" s="6" t="str">
        <x:v>Aprovados</x:v>
      </x:c>
    </x:row>
    <x:row r="8">
      <x:c r="A8" t="str">
        <x:v>Total de projetos-modelo</x:v>
      </x:c>
      <x:c r="B8" t="n">
        <x:v>50</x:v>
      </x:c>
      <x:c r="D8" t="str">
        <x:v>Vigas</x:v>
      </x:c>
      <x:c r="E8" t="n">
        <x:v>5</x:v>
      </x:c>
      <x:c r="F8" t="str"/>
      <x:c r="G8" t="str"/>
      <x:c r="H8" t="str"/>
    </x:row>
    <x:row r="9">
      <x:c r="A9" t="str">
        <x:v>Prompts individuais</x:v>
      </x:c>
      <x:c r="B9" t="n">
        <x:v>50</x:v>
      </x:c>
      <x:c r="D9" t="str">
        <x:v>Pilares</x:v>
      </x:c>
      <x:c r="E9" t="n">
        <x:v>5</x:v>
      </x:c>
      <x:c r="F9" t="str"/>
      <x:c r="G9" t="str"/>
      <x:c r="H9" t="str"/>
    </x:row>
    <x:row r="10">
      <x:c r="A10" t="str">
        <x:v>Categorias principais</x:v>
      </x:c>
      <x:c r="B10" t="n">
        <x:v>10</x:v>
      </x:c>
      <x:c r="D10" t="str">
        <x:v>Lajes</x:v>
      </x:c>
      <x:c r="E10" t="n">
        <x:v>5</x:v>
      </x:c>
      <x:c r="F10" t="str"/>
      <x:c r="G10" t="str"/>
      <x:c r="H10" t="str"/>
    </x:row>
    <x:row r="11">
      <x:c r="A11" t="str">
        <x:v>Arquivos visuais gerados</x:v>
      </x:c>
      <x:c r="B11" t="n">
        <x:v>0</x:v>
      </x:c>
      <x:c r="D11" t="str">
        <x:v>Fundações</x:v>
      </x:c>
      <x:c r="E11" t="n">
        <x:v>5</x:v>
      </x:c>
      <x:c r="F11" t="str"/>
      <x:c r="G11" t="str"/>
      <x:c r="H11" t="str"/>
    </x:row>
    <x:row r="12">
      <x:c r="A12" t="str">
        <x:v>Status geral</x:v>
      </x:c>
      <x:c r="B12" t="str">
        <x:v>Base textual pronta</x:v>
      </x:c>
      <x:c r="D12" t="str">
        <x:v>Muros e contenções</x:v>
      </x:c>
      <x:c r="E12" t="n">
        <x:v>5</x:v>
      </x:c>
      <x:c r="F12" t="str"/>
      <x:c r="G12" t="str"/>
      <x:c r="H12" t="str"/>
    </x:row>
    <x:row r="13">
      <x:c r="D13" t="str">
        <x:v>Elementos especiais</x:v>
      </x:c>
      <x:c r="E13" t="n">
        <x:v>5</x:v>
      </x:c>
      <x:c r="F13" t="str"/>
      <x:c r="G13" t="str"/>
      <x:c r="H13" t="str"/>
    </x:row>
    <x:row r="14">
      <x:c r="D14" t="str">
        <x:v>Metálicas e madeira</x:v>
      </x:c>
      <x:c r="E14" t="n">
        <x:v>5</x:v>
      </x:c>
      <x:c r="F14" t="str"/>
      <x:c r="G14" t="str"/>
      <x:c r="H14" t="str"/>
    </x:row>
    <x:row r="15">
      <x:c r="D15" t="str">
        <x:v>Patologias</x:v>
      </x:c>
      <x:c r="E15" t="n">
        <x:v>5</x:v>
      </x:c>
      <x:c r="F15" t="str"/>
      <x:c r="G15" t="str"/>
      <x:c r="H15" t="str"/>
    </x:row>
    <x:row r="16">
      <x:c r="D16" t="str">
        <x:v>Compatibilização</x:v>
      </x:c>
      <x:c r="E16" t="n">
        <x:v>5</x:v>
      </x:c>
      <x:c r="F16" t="str"/>
      <x:c r="G16" t="str"/>
      <x:c r="H16" t="str"/>
    </x:row>
    <x:row r="17">
      <x:c r="D17" t="str">
        <x:v>Pranchas finais</x:v>
      </x:c>
      <x:c r="E17" t="n">
        <x:v>5</x:v>
      </x:c>
      <x:c r="F17" t="str"/>
      <x:c r="G17" t="str"/>
      <x:c r="H17" t="str"/>
    </x:row>
  </x:sheetData>
  <x:mergeCells>
    <x:mergeCell ref="A1:H1"/>
    <x:mergeCell ref="A3:H5"/>
  </x:mergeCells>
  <x:pageMargins left="0.7" right="0.7" top="0.75" bottom="0.75" header="0.3" footer="0.3"/>
  <x:drawing xmlns:r="http://schemas.openxmlformats.org/officeDocument/2006/relationships" r:id="R817b7d1d70ba480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48" hidden="0" customWidth="1"/>
  </x:cols>
  <x:sheetData>
    <x:row r="1">
      <x:c r="A1" s="6" t="str">
        <x:v>Código</x:v>
      </x:c>
      <x:c r="B1" s="6" t="str">
        <x:v>Elemento</x:v>
      </x:c>
      <x:c r="C1" s="6" t="str">
        <x:v>Categoria</x:v>
      </x:c>
      <x:c r="D1" s="6" t="str">
        <x:v>Pavimento/Local</x:v>
      </x:c>
      <x:c r="E1" s="30" t="str">
        <x:v>Compr. (m)</x:v>
      </x:c>
      <x:c r="F1" s="30" t="str">
        <x:v>Larg. (m)</x:v>
      </x:c>
      <x:c r="G1" s="30" t="str">
        <x:v>Alt./Esp. (m)</x:v>
      </x:c>
      <x:c r="H1" s="30" t="str">
        <x:v>Qtde</x:v>
      </x:c>
      <x:c r="I1" s="30" t="str">
        <x:v>Vol. Concreto (m³)</x:v>
      </x:c>
      <x:c r="J1" s="30" t="str">
        <x:v>Área Forma ref. (m²)</x:v>
      </x:c>
      <x:c r="K1" s="30" t="str">
        <x:v>Taxa Aço ref. (kg/m³)</x:v>
      </x:c>
      <x:c r="L1" s="30" t="str">
        <x:v>Aço ref. (kg)</x:v>
      </x:c>
      <x:c r="M1" s="6" t="str">
        <x:v>Status</x:v>
      </x:c>
      <x:c r="N1" s="6" t="str">
        <x:v>Observações</x:v>
      </x:c>
    </x:row>
    <x:row r="2">
      <x:c r="A2" s="12" t="str">
        <x:v>EST-01</x:v>
      </x:c>
      <x:c r="B2" s="12" t="str">
        <x:v>Viga Baldrame Residencial</x:v>
      </x:c>
      <x:c r="C2" s="12" t="str">
        <x:v>Vigas</x:v>
      </x:c>
      <x:c r="D2" s="12" t="str"/>
      <x:c r="E2" s="12" t="str"/>
      <x:c r="F2" s="12" t="str"/>
      <x:c r="G2" s="12" t="str"/>
      <x:c r="H2" s="12" t="n">
        <x:v>1</x:v>
      </x:c>
      <x:c r="I2" s="12" t="str">
        <x:f>IF(OR(E2="",F2="",G2="",H2=""),"",E2*F2*G2*H2)</x:f>
      </x:c>
      <x:c r="J2" s="12" t="str">
        <x:f>IF(OR(E2="",F2="",G2="",H2=""),"",2*(E2*G2+E2*F2+F2*G2)*H2)</x:f>
      </x:c>
      <x:c r="K2" s="12" t="str"/>
      <x:c r="L2" s="12" t="str">
        <x:f>IF(OR(I2="",K2=""),"",I2*K2)</x:f>
      </x:c>
      <x:c r="M2" s="12" t="str">
        <x:v>Não iniciado</x:v>
      </x:c>
      <x:c r="N2" s="12" t="str">
        <x:v>Valores indicativos/didáticos. Preencher somente como estudo.</x:v>
      </x:c>
    </x:row>
    <x:row r="3">
      <x:c r="A3" s="12" t="str">
        <x:v>EST-02</x:v>
      </x:c>
      <x:c r="B3" s="12" t="str">
        <x:v>Viga Aérea em Concreto Armado</x:v>
      </x:c>
      <x:c r="C3" s="12" t="str">
        <x:v>Vigas</x:v>
      </x:c>
      <x:c r="D3" s="12" t="str"/>
      <x:c r="E3" s="12" t="str"/>
      <x:c r="F3" s="12" t="str"/>
      <x:c r="G3" s="12" t="str"/>
      <x:c r="H3" s="12" t="n">
        <x:v>1</x:v>
      </x:c>
      <x:c r="I3" s="12" t="str">
        <x:f>IF(OR(E3="",F3="",G3="",H3=""),"",E3*F3*G3*H3)</x:f>
      </x:c>
      <x:c r="J3" s="12" t="str">
        <x:f>IF(OR(E3="",F3="",G3="",H3=""),"",2*(E3*G3+E3*F3+F3*G3)*H3)</x:f>
      </x:c>
      <x:c r="K3" s="12" t="str"/>
      <x:c r="L3" s="12" t="str">
        <x:f>IF(OR(I3="",K3=""),"",I3*K3)</x:f>
      </x:c>
      <x:c r="M3" s="12" t="str">
        <x:v>Não iniciado</x:v>
      </x:c>
      <x:c r="N3" s="12" t="str">
        <x:v>Valores indicativos/didáticos. Preencher somente como estudo.</x:v>
      </x:c>
    </x:row>
    <x:row r="4">
      <x:c r="A4" s="12" t="str">
        <x:v>EST-03</x:v>
      </x:c>
      <x:c r="B4" s="12" t="str">
        <x:v>Viga de Travamento entre Sapatas</x:v>
      </x:c>
      <x:c r="C4" s="12" t="str">
        <x:v>Vigas</x:v>
      </x:c>
      <x:c r="D4" s="12" t="str"/>
      <x:c r="E4" s="12" t="str"/>
      <x:c r="F4" s="12" t="str"/>
      <x:c r="G4" s="12" t="str"/>
      <x:c r="H4" s="12" t="n">
        <x:v>1</x:v>
      </x:c>
      <x:c r="I4" s="12" t="str">
        <x:f>IF(OR(E4="",F4="",G4="",H4=""),"",E4*F4*G4*H4)</x:f>
      </x:c>
      <x:c r="J4" s="12" t="str">
        <x:f>IF(OR(E4="",F4="",G4="",H4=""),"",2*(E4*G4+E4*F4+F4*G4)*H4)</x:f>
      </x:c>
      <x:c r="K4" s="12" t="str"/>
      <x:c r="L4" s="12" t="str">
        <x:f>IF(OR(I4="",K4=""),"",I4*K4)</x:f>
      </x:c>
      <x:c r="M4" s="12" t="str">
        <x:v>Não iniciado</x:v>
      </x:c>
      <x:c r="N4" s="12" t="str">
        <x:v>Valores indicativos/didáticos. Preencher somente como estudo.</x:v>
      </x:c>
    </x:row>
    <x:row r="5">
      <x:c r="A5" s="12" t="str">
        <x:v>EST-04</x:v>
      </x:c>
      <x:c r="B5" s="12" t="str">
        <x:v>Viga de Borda para Laje</x:v>
      </x:c>
      <x:c r="C5" s="12" t="str">
        <x:v>Vigas</x:v>
      </x:c>
      <x:c r="D5" s="12" t="str"/>
      <x:c r="E5" s="12" t="str"/>
      <x:c r="F5" s="12" t="str"/>
      <x:c r="G5" s="12" t="str"/>
      <x:c r="H5" s="12" t="n">
        <x:v>1</x:v>
      </x:c>
      <x:c r="I5" s="12" t="str">
        <x:f>IF(OR(E5="",F5="",G5="",H5=""),"",E5*F5*G5*H5)</x:f>
      </x:c>
      <x:c r="J5" s="12" t="str">
        <x:f>IF(OR(E5="",F5="",G5="",H5=""),"",2*(E5*G5+E5*F5+F5*G5)*H5)</x:f>
      </x:c>
      <x:c r="K5" s="12" t="str"/>
      <x:c r="L5" s="12" t="str">
        <x:f>IF(OR(I5="",K5=""),"",I5*K5)</x:f>
      </x:c>
      <x:c r="M5" s="12" t="str">
        <x:v>Não iniciado</x:v>
      </x:c>
      <x:c r="N5" s="12" t="str">
        <x:v>Valores indicativos/didáticos. Preencher somente como estudo.</x:v>
      </x:c>
    </x:row>
    <x:row r="6">
      <x:c r="A6" s="12" t="str">
        <x:v>EST-05</x:v>
      </x:c>
      <x:c r="B6" s="12" t="str">
        <x:v>Viga Invertida Conceitual</x:v>
      </x:c>
      <x:c r="C6" s="12" t="str">
        <x:v>Vigas</x:v>
      </x:c>
      <x:c r="D6" s="12" t="str"/>
      <x:c r="E6" s="12" t="str"/>
      <x:c r="F6" s="12" t="str"/>
      <x:c r="G6" s="12" t="str"/>
      <x:c r="H6" s="12" t="n">
        <x:v>1</x:v>
      </x:c>
      <x:c r="I6" s="12" t="str">
        <x:f>IF(OR(E6="",F6="",G6="",H6=""),"",E6*F6*G6*H6)</x:f>
      </x:c>
      <x:c r="J6" s="12" t="str">
        <x:f>IF(OR(E6="",F6="",G6="",H6=""),"",2*(E6*G6+E6*F6+F6*G6)*H6)</x:f>
      </x:c>
      <x:c r="K6" s="12" t="str"/>
      <x:c r="L6" s="12" t="str">
        <x:f>IF(OR(I6="",K6=""),"",I6*K6)</x:f>
      </x:c>
      <x:c r="M6" s="12" t="str">
        <x:v>Não iniciado</x:v>
      </x:c>
      <x:c r="N6" s="12" t="str">
        <x:v>Valores indicativos/didáticos. Preencher somente como estudo.</x:v>
      </x:c>
    </x:row>
    <x:row r="7">
      <x:c r="A7" s="12" t="str">
        <x:v>EST-06</x:v>
      </x:c>
      <x:c r="B7" s="12" t="str">
        <x:v>Pilar Residencial em Concreto Armado</x:v>
      </x:c>
      <x:c r="C7" s="12" t="str">
        <x:v>Pilares</x:v>
      </x:c>
      <x:c r="D7" s="12" t="str"/>
      <x:c r="E7" s="12" t="str"/>
      <x:c r="F7" s="12" t="str"/>
      <x:c r="G7" s="12" t="str"/>
      <x:c r="H7" s="12" t="n">
        <x:v>1</x:v>
      </x:c>
      <x:c r="I7" s="12" t="str">
        <x:f>IF(OR(E7="",F7="",G7="",H7=""),"",E7*F7*G7*H7)</x:f>
      </x:c>
      <x:c r="J7" s="12" t="str">
        <x:f>IF(OR(E7="",F7="",G7="",H7=""),"",2*(E7*G7+E7*F7+F7*G7)*H7)</x:f>
      </x:c>
      <x:c r="K7" s="12" t="str"/>
      <x:c r="L7" s="12" t="str">
        <x:f>IF(OR(I7="",K7=""),"",I7*K7)</x:f>
      </x:c>
      <x:c r="M7" s="12" t="str">
        <x:v>Não iniciado</x:v>
      </x:c>
      <x:c r="N7" s="12" t="str">
        <x:v>Valores indicativos/didáticos. Preencher somente como estudo.</x:v>
      </x:c>
    </x:row>
    <x:row r="8">
      <x:c r="A8" s="12" t="str">
        <x:v>EST-07</x:v>
      </x:c>
      <x:c r="B8" s="12" t="str">
        <x:v>Pilar de Canto com Vigas Conectadas</x:v>
      </x:c>
      <x:c r="C8" s="12" t="str">
        <x:v>Pilares</x:v>
      </x:c>
      <x:c r="D8" s="12" t="str"/>
      <x:c r="E8" s="12" t="str"/>
      <x:c r="F8" s="12" t="str"/>
      <x:c r="G8" s="12" t="str"/>
      <x:c r="H8" s="12" t="n">
        <x:v>1</x:v>
      </x:c>
      <x:c r="I8" s="12" t="str">
        <x:f>IF(OR(E8="",F8="",G8="",H8=""),"",E8*F8*G8*H8)</x:f>
      </x:c>
      <x:c r="J8" s="12" t="str">
        <x:f>IF(OR(E8="",F8="",G8="",H8=""),"",2*(E8*G8+E8*F8+F8*G8)*H8)</x:f>
      </x:c>
      <x:c r="K8" s="12" t="str"/>
      <x:c r="L8" s="12" t="str">
        <x:f>IF(OR(I8="",K8=""),"",I8*K8)</x:f>
      </x:c>
      <x:c r="M8" s="12" t="str">
        <x:v>Não iniciado</x:v>
      </x:c>
      <x:c r="N8" s="12" t="str">
        <x:v>Valores indicativos/didáticos. Preencher somente como estudo.</x:v>
      </x:c>
    </x:row>
    <x:row r="9">
      <x:c r="A9" s="12" t="str">
        <x:v>EST-08</x:v>
      </x:c>
      <x:c r="B9" s="12" t="str">
        <x:v>Pilar de Borda</x:v>
      </x:c>
      <x:c r="C9" s="12" t="str">
        <x:v>Pilares</x:v>
      </x:c>
      <x:c r="D9" s="12" t="str"/>
      <x:c r="E9" s="12" t="str"/>
      <x:c r="F9" s="12" t="str"/>
      <x:c r="G9" s="12" t="str"/>
      <x:c r="H9" s="12" t="n">
        <x:v>1</x:v>
      </x:c>
      <x:c r="I9" s="12" t="str">
        <x:f>IF(OR(E9="",F9="",G9="",H9=""),"",E9*F9*G9*H9)</x:f>
      </x:c>
      <x:c r="J9" s="12" t="str">
        <x:f>IF(OR(E9="",F9="",G9="",H9=""),"",2*(E9*G9+E9*F9+F9*G9)*H9)</x:f>
      </x:c>
      <x:c r="K9" s="12" t="str"/>
      <x:c r="L9" s="12" t="str">
        <x:f>IF(OR(I9="",K9=""),"",I9*K9)</x:f>
      </x:c>
      <x:c r="M9" s="12" t="str">
        <x:v>Não iniciado</x:v>
      </x:c>
      <x:c r="N9" s="12" t="str">
        <x:v>Valores indicativos/didáticos. Preencher somente como estudo.</x:v>
      </x:c>
    </x:row>
    <x:row r="10">
      <x:c r="A10" s="12" t="str">
        <x:v>EST-09</x:v>
      </x:c>
      <x:c r="B10" s="12" t="str">
        <x:v>Pilar-Parede Conceitual</x:v>
      </x:c>
      <x:c r="C10" s="12" t="str">
        <x:v>Pilares</x:v>
      </x:c>
      <x:c r="D10" s="12" t="str"/>
      <x:c r="E10" s="12" t="str"/>
      <x:c r="F10" s="12" t="str"/>
      <x:c r="G10" s="12" t="str"/>
      <x:c r="H10" s="12" t="n">
        <x:v>1</x:v>
      </x:c>
      <x:c r="I10" s="12" t="str">
        <x:f>IF(OR(E10="",F10="",G10="",H10=""),"",E10*F10*G10*H10)</x:f>
      </x:c>
      <x:c r="J10" s="12" t="str">
        <x:f>IF(OR(E10="",F10="",G10="",H10=""),"",2*(E10*G10+E10*F10+F10*G10)*H10)</x:f>
      </x:c>
      <x:c r="K10" s="12" t="str"/>
      <x:c r="L10" s="12" t="str">
        <x:f>IF(OR(I10="",K10=""),"",I10*K10)</x:f>
      </x:c>
      <x:c r="M10" s="12" t="str">
        <x:v>Não iniciado</x:v>
      </x:c>
      <x:c r="N10" s="12" t="str">
        <x:v>Valores indicativos/didáticos. Preencher somente como estudo.</x:v>
      </x:c>
    </x:row>
    <x:row r="11">
      <x:c r="A11" s="12" t="str">
        <x:v>EST-10</x:v>
      </x:c>
      <x:c r="B11" s="12" t="str">
        <x:v>Arranque de Pilar em Fundação</x:v>
      </x:c>
      <x:c r="C11" s="12" t="str">
        <x:v>Pilares</x:v>
      </x:c>
      <x:c r="D11" s="12" t="str"/>
      <x:c r="E11" s="12" t="str"/>
      <x:c r="F11" s="12" t="str"/>
      <x:c r="G11" s="12" t="str"/>
      <x:c r="H11" s="12" t="n">
        <x:v>1</x:v>
      </x:c>
      <x:c r="I11" s="12" t="str">
        <x:f>IF(OR(E11="",F11="",G11="",H11=""),"",E11*F11*G11*H11)</x:f>
      </x:c>
      <x:c r="J11" s="12" t="str">
        <x:f>IF(OR(E11="",F11="",G11="",H11=""),"",2*(E11*G11+E11*F11+F11*G11)*H11)</x:f>
      </x:c>
      <x:c r="K11" s="12" t="str"/>
      <x:c r="L11" s="12" t="str">
        <x:f>IF(OR(I11="",K11=""),"",I11*K11)</x:f>
      </x:c>
      <x:c r="M11" s="12" t="str">
        <x:v>Não iniciado</x:v>
      </x:c>
      <x:c r="N11" s="12" t="str">
        <x:v>Valores indicativos/didáticos. Preencher somente como estudo.</x:v>
      </x:c>
    </x:row>
    <x:row r="12">
      <x:c r="A12" s="12" t="str">
        <x:v>EST-11</x:v>
      </x:c>
      <x:c r="B12" s="12" t="str">
        <x:v>Laje Maciça Unidirecional</x:v>
      </x:c>
      <x:c r="C12" s="12" t="str">
        <x:v>Lajes</x:v>
      </x:c>
      <x:c r="D12" s="12" t="str"/>
      <x:c r="E12" s="12" t="str"/>
      <x:c r="F12" s="12" t="str"/>
      <x:c r="G12" s="12" t="str"/>
      <x:c r="H12" s="12" t="n">
        <x:v>1</x:v>
      </x:c>
      <x:c r="I12" s="12" t="str">
        <x:f>IF(OR(E12="",F12="",G12="",H12=""),"",E12*F12*G12*H12)</x:f>
      </x:c>
      <x:c r="J12" s="12" t="str">
        <x:f>IF(OR(E12="",F12="",G12="",H12=""),"",2*(E12*G12+E12*F12+F12*G12)*H12)</x:f>
      </x:c>
      <x:c r="K12" s="12" t="str"/>
      <x:c r="L12" s="12" t="str">
        <x:f>IF(OR(I12="",K12=""),"",I12*K12)</x:f>
      </x:c>
      <x:c r="M12" s="12" t="str">
        <x:v>Não iniciado</x:v>
      </x:c>
      <x:c r="N12" s="12" t="str">
        <x:v>Valores indicativos/didáticos. Preencher somente como estudo.</x:v>
      </x:c>
    </x:row>
    <x:row r="13">
      <x:c r="A13" s="12" t="str">
        <x:v>EST-12</x:v>
      </x:c>
      <x:c r="B13" s="12" t="str">
        <x:v>Laje Maciça Bidirecional</x:v>
      </x:c>
      <x:c r="C13" s="12" t="str">
        <x:v>Lajes</x:v>
      </x:c>
      <x:c r="D13" s="12" t="str"/>
      <x:c r="E13" s="12" t="str"/>
      <x:c r="F13" s="12" t="str"/>
      <x:c r="G13" s="12" t="str"/>
      <x:c r="H13" s="12" t="n">
        <x:v>1</x:v>
      </x:c>
      <x:c r="I13" s="12" t="str">
        <x:f>IF(OR(E13="",F13="",G13="",H13=""),"",E13*F13*G13*H13)</x:f>
      </x:c>
      <x:c r="J13" s="12" t="str">
        <x:f>IF(OR(E13="",F13="",G13="",H13=""),"",2*(E13*G13+E13*F13+F13*G13)*H13)</x:f>
      </x:c>
      <x:c r="K13" s="12" t="str"/>
      <x:c r="L13" s="12" t="str">
        <x:f>IF(OR(I13="",K13=""),"",I13*K13)</x:f>
      </x:c>
      <x:c r="M13" s="12" t="str">
        <x:v>Não iniciado</x:v>
      </x:c>
      <x:c r="N13" s="12" t="str">
        <x:v>Valores indicativos/didáticos. Preencher somente como estudo.</x:v>
      </x:c>
    </x:row>
    <x:row r="14">
      <x:c r="A14" s="12" t="str">
        <x:v>EST-13</x:v>
      </x:c>
      <x:c r="B14" s="12" t="str">
        <x:v>Laje Treliçada com Enchimento</x:v>
      </x:c>
      <x:c r="C14" s="12" t="str">
        <x:v>Lajes</x:v>
      </x:c>
      <x:c r="D14" s="12" t="str"/>
      <x:c r="E14" s="12" t="str"/>
      <x:c r="F14" s="12" t="str"/>
      <x:c r="G14" s="12" t="str"/>
      <x:c r="H14" s="12" t="n">
        <x:v>1</x:v>
      </x:c>
      <x:c r="I14" s="12" t="str">
        <x:f>IF(OR(E14="",F14="",G14="",H14=""),"",E14*F14*G14*H14)</x:f>
      </x:c>
      <x:c r="J14" s="12" t="str">
        <x:f>IF(OR(E14="",F14="",G14="",H14=""),"",2*(E14*G14+E14*F14+F14*G14)*H14)</x:f>
      </x:c>
      <x:c r="K14" s="12" t="str"/>
      <x:c r="L14" s="12" t="str">
        <x:f>IF(OR(I14="",K14=""),"",I14*K14)</x:f>
      </x:c>
      <x:c r="M14" s="12" t="str">
        <x:v>Não iniciado</x:v>
      </x:c>
      <x:c r="N14" s="12" t="str">
        <x:v>Valores indicativos/didáticos. Preencher somente como estudo.</x:v>
      </x:c>
    </x:row>
    <x:row r="15">
      <x:c r="A15" s="12" t="str">
        <x:v>EST-14</x:v>
      </x:c>
      <x:c r="B15" s="12" t="str">
        <x:v>Laje em Balanço para Sacada</x:v>
      </x:c>
      <x:c r="C15" s="12" t="str">
        <x:v>Lajes</x:v>
      </x:c>
      <x:c r="D15" s="12" t="str"/>
      <x:c r="E15" s="12" t="str"/>
      <x:c r="F15" s="12" t="str"/>
      <x:c r="G15" s="12" t="str"/>
      <x:c r="H15" s="12" t="n">
        <x:v>1</x:v>
      </x:c>
      <x:c r="I15" s="12" t="str">
        <x:f>IF(OR(E15="",F15="",G15="",H15=""),"",E15*F15*G15*H15)</x:f>
      </x:c>
      <x:c r="J15" s="12" t="str">
        <x:f>IF(OR(E15="",F15="",G15="",H15=""),"",2*(E15*G15+E15*F15+F15*G15)*H15)</x:f>
      </x:c>
      <x:c r="K15" s="12" t="str"/>
      <x:c r="L15" s="12" t="str">
        <x:f>IF(OR(I15="",K15=""),"",I15*K15)</x:f>
      </x:c>
      <x:c r="M15" s="12" t="str">
        <x:v>Não iniciado</x:v>
      </x:c>
      <x:c r="N15" s="12" t="str">
        <x:v>Valores indicativos/didáticos. Preencher somente como estudo.</x:v>
      </x:c>
    </x:row>
    <x:row r="16">
      <x:c r="A16" s="12" t="str">
        <x:v>EST-15</x:v>
      </x:c>
      <x:c r="B16" s="12" t="str">
        <x:v>Laje com Shaft Técnico</x:v>
      </x:c>
      <x:c r="C16" s="12" t="str">
        <x:v>Lajes</x:v>
      </x:c>
      <x:c r="D16" s="12" t="str"/>
      <x:c r="E16" s="12" t="str"/>
      <x:c r="F16" s="12" t="str"/>
      <x:c r="G16" s="12" t="str"/>
      <x:c r="H16" s="12" t="n">
        <x:v>1</x:v>
      </x:c>
      <x:c r="I16" s="12" t="str">
        <x:f>IF(OR(E16="",F16="",G16="",H16=""),"",E16*F16*G16*H16)</x:f>
      </x:c>
      <x:c r="J16" s="12" t="str">
        <x:f>IF(OR(E16="",F16="",G16="",H16=""),"",2*(E16*G16+E16*F16+F16*G16)*H16)</x:f>
      </x:c>
      <x:c r="K16" s="12" t="str"/>
      <x:c r="L16" s="12" t="str">
        <x:f>IF(OR(I16="",K16=""),"",I16*K16)</x:f>
      </x:c>
      <x:c r="M16" s="12" t="str">
        <x:v>Não iniciado</x:v>
      </x:c>
      <x:c r="N16" s="12" t="str">
        <x:v>Valores indicativos/didáticos. Preencher somente como estudo.</x:v>
      </x:c>
    </x:row>
    <x:row r="17">
      <x:c r="A17" s="12" t="str">
        <x:v>EST-16</x:v>
      </x:c>
      <x:c r="B17" s="12" t="str">
        <x:v>Sapata Isolada com Pilar Central</x:v>
      </x:c>
      <x:c r="C17" s="12" t="str">
        <x:v>Fundações</x:v>
      </x:c>
      <x:c r="D17" s="12" t="str"/>
      <x:c r="E17" s="12" t="str"/>
      <x:c r="F17" s="12" t="str"/>
      <x:c r="G17" s="12" t="str"/>
      <x:c r="H17" s="12" t="n">
        <x:v>1</x:v>
      </x:c>
      <x:c r="I17" s="12" t="str">
        <x:f>IF(OR(E17="",F17="",G17="",H17=""),"",E17*F17*G17*H17)</x:f>
      </x:c>
      <x:c r="J17" s="12" t="str">
        <x:f>IF(OR(E17="",F17="",G17="",H17=""),"",2*(E17*G17+E17*F17+F17*G17)*H17)</x:f>
      </x:c>
      <x:c r="K17" s="12" t="str"/>
      <x:c r="L17" s="12" t="str">
        <x:f>IF(OR(I17="",K17=""),"",I17*K17)</x:f>
      </x:c>
      <x:c r="M17" s="12" t="str">
        <x:v>Não iniciado</x:v>
      </x:c>
      <x:c r="N17" s="12" t="str">
        <x:v>Valores indicativos/didáticos. Preencher somente como estudo.</x:v>
      </x:c>
    </x:row>
    <x:row r="18">
      <x:c r="A18" s="12" t="str">
        <x:v>EST-17</x:v>
      </x:c>
      <x:c r="B18" s="12" t="str">
        <x:v>Sapata de Divisa</x:v>
      </x:c>
      <x:c r="C18" s="12" t="str">
        <x:v>Fundações</x:v>
      </x:c>
      <x:c r="D18" s="12" t="str"/>
      <x:c r="E18" s="12" t="str"/>
      <x:c r="F18" s="12" t="str"/>
      <x:c r="G18" s="12" t="str"/>
      <x:c r="H18" s="12" t="n">
        <x:v>1</x:v>
      </x:c>
      <x:c r="I18" s="12" t="str">
        <x:f>IF(OR(E18="",F18="",G18="",H18=""),"",E18*F18*G18*H18)</x:f>
      </x:c>
      <x:c r="J18" s="12" t="str">
        <x:f>IF(OR(E18="",F18="",G18="",H18=""),"",2*(E18*G18+E18*F18+F18*G18)*H18)</x:f>
      </x:c>
      <x:c r="K18" s="12" t="str"/>
      <x:c r="L18" s="12" t="str">
        <x:f>IF(OR(I18="",K18=""),"",I18*K18)</x:f>
      </x:c>
      <x:c r="M18" s="12" t="str">
        <x:v>Não iniciado</x:v>
      </x:c>
      <x:c r="N18" s="12" t="str">
        <x:v>Valores indicativos/didáticos. Preencher somente como estudo.</x:v>
      </x:c>
    </x:row>
    <x:row r="19">
      <x:c r="A19" s="12" t="str">
        <x:v>EST-18</x:v>
      </x:c>
      <x:c r="B19" s="12" t="str">
        <x:v>Sapata Corrida sob Parede</x:v>
      </x:c>
      <x:c r="C19" s="12" t="str">
        <x:v>Fundações</x:v>
      </x:c>
      <x:c r="D19" s="12" t="str"/>
      <x:c r="E19" s="12" t="str"/>
      <x:c r="F19" s="12" t="str"/>
      <x:c r="G19" s="12" t="str"/>
      <x:c r="H19" s="12" t="n">
        <x:v>1</x:v>
      </x:c>
      <x:c r="I19" s="12" t="str">
        <x:f>IF(OR(E19="",F19="",G19="",H19=""),"",E19*F19*G19*H19)</x:f>
      </x:c>
      <x:c r="J19" s="12" t="str">
        <x:f>IF(OR(E19="",F19="",G19="",H19=""),"",2*(E19*G19+E19*F19+F19*G19)*H19)</x:f>
      </x:c>
      <x:c r="K19" s="12" t="str"/>
      <x:c r="L19" s="12" t="str">
        <x:f>IF(OR(I19="",K19=""),"",I19*K19)</x:f>
      </x:c>
      <x:c r="M19" s="12" t="str">
        <x:v>Não iniciado</x:v>
      </x:c>
      <x:c r="N19" s="12" t="str">
        <x:v>Valores indicativos/didáticos. Preencher somente como estudo.</x:v>
      </x:c>
    </x:row>
    <x:row r="20">
      <x:c r="A20" s="12" t="str">
        <x:v>EST-19</x:v>
      </x:c>
      <x:c r="B20" s="12" t="str">
        <x:v>Radier Residencial Conceitual</x:v>
      </x:c>
      <x:c r="C20" s="12" t="str">
        <x:v>Fundações</x:v>
      </x:c>
      <x:c r="D20" s="12" t="str"/>
      <x:c r="E20" s="12" t="str"/>
      <x:c r="F20" s="12" t="str"/>
      <x:c r="G20" s="12" t="str"/>
      <x:c r="H20" s="12" t="n">
        <x:v>1</x:v>
      </x:c>
      <x:c r="I20" s="12" t="str">
        <x:f>IF(OR(E20="",F20="",G20="",H20=""),"",E20*F20*G20*H20)</x:f>
      </x:c>
      <x:c r="J20" s="12" t="str">
        <x:f>IF(OR(E20="",F20="",G20="",H20=""),"",2*(E20*G20+E20*F20+F20*G20)*H20)</x:f>
      </x:c>
      <x:c r="K20" s="12" t="str"/>
      <x:c r="L20" s="12" t="str">
        <x:f>IF(OR(I20="",K20=""),"",I20*K20)</x:f>
      </x:c>
      <x:c r="M20" s="12" t="str">
        <x:v>Não iniciado</x:v>
      </x:c>
      <x:c r="N20" s="12" t="str">
        <x:v>Valores indicativos/didáticos. Preencher somente como estudo.</x:v>
      </x:c>
    </x:row>
    <x:row r="21">
      <x:c r="A21" s="12" t="str">
        <x:v>EST-20</x:v>
      </x:c>
      <x:c r="B21" s="12" t="str">
        <x:v>Bloco sobre Estacas</x:v>
      </x:c>
      <x:c r="C21" s="12" t="str">
        <x:v>Fundações</x:v>
      </x:c>
      <x:c r="D21" s="12" t="str"/>
      <x:c r="E21" s="12" t="str"/>
      <x:c r="F21" s="12" t="str"/>
      <x:c r="G21" s="12" t="str"/>
      <x:c r="H21" s="12" t="n">
        <x:v>1</x:v>
      </x:c>
      <x:c r="I21" s="12" t="str">
        <x:f>IF(OR(E21="",F21="",G21="",H21=""),"",E21*F21*G21*H21)</x:f>
      </x:c>
      <x:c r="J21" s="12" t="str">
        <x:f>IF(OR(E21="",F21="",G21="",H21=""),"",2*(E21*G21+E21*F21+F21*G21)*H21)</x:f>
      </x:c>
      <x:c r="K21" s="12" t="str"/>
      <x:c r="L21" s="12" t="str">
        <x:f>IF(OR(I21="",K21=""),"",I21*K21)</x:f>
      </x:c>
      <x:c r="M21" s="12" t="str">
        <x:v>Não iniciado</x:v>
      </x:c>
      <x:c r="N21" s="12" t="str">
        <x:v>Valores indicativos/didáticos. Preencher somente como estudo.</x:v>
      </x:c>
    </x:row>
    <x:row r="22">
      <x:c r="A22" s="12" t="str">
        <x:v>EST-21</x:v>
      </x:c>
      <x:c r="B22" s="12" t="str">
        <x:v>Muro de Divisa com Fundação Corrida</x:v>
      </x:c>
      <x:c r="C22" s="12" t="str">
        <x:v>Muros e contenções</x:v>
      </x:c>
      <x:c r="D22" s="12" t="str"/>
      <x:c r="E22" s="12" t="str"/>
      <x:c r="F22" s="12" t="str"/>
      <x:c r="G22" s="12" t="str"/>
      <x:c r="H22" s="12" t="n">
        <x:v>1</x:v>
      </x:c>
      <x:c r="I22" s="12" t="str">
        <x:f>IF(OR(E22="",F22="",G22="",H22=""),"",E22*F22*G22*H22)</x:f>
      </x:c>
      <x:c r="J22" s="12" t="str">
        <x:f>IF(OR(E22="",F22="",G22="",H22=""),"",2*(E22*G22+E22*F22+F22*G22)*H22)</x:f>
      </x:c>
      <x:c r="K22" s="12" t="str"/>
      <x:c r="L22" s="12" t="str">
        <x:f>IF(OR(I22="",K22=""),"",I22*K22)</x:f>
      </x:c>
      <x:c r="M22" s="12" t="str">
        <x:v>Não iniciado</x:v>
      </x:c>
      <x:c r="N22" s="12" t="str">
        <x:v>Valores indicativos/didáticos. Preencher somente como estudo.</x:v>
      </x:c>
    </x:row>
    <x:row r="23">
      <x:c r="A23" s="12" t="str">
        <x:v>EST-22</x:v>
      </x:c>
      <x:c r="B23" s="12" t="str">
        <x:v>Muro de Arrimo em Concreto Armado</x:v>
      </x:c>
      <x:c r="C23" s="12" t="str">
        <x:v>Muros e contenções</x:v>
      </x:c>
      <x:c r="D23" s="12" t="str"/>
      <x:c r="E23" s="12" t="str"/>
      <x:c r="F23" s="12" t="str"/>
      <x:c r="G23" s="12" t="str"/>
      <x:c r="H23" s="12" t="n">
        <x:v>1</x:v>
      </x:c>
      <x:c r="I23" s="12" t="str">
        <x:f>IF(OR(E23="",F23="",G23="",H23=""),"",E23*F23*G23*H23)</x:f>
      </x:c>
      <x:c r="J23" s="12" t="str">
        <x:f>IF(OR(E23="",F23="",G23="",H23=""),"",2*(E23*G23+E23*F23+F23*G23)*H23)</x:f>
      </x:c>
      <x:c r="K23" s="12" t="str"/>
      <x:c r="L23" s="12" t="str">
        <x:f>IF(OR(I23="",K23=""),"",I23*K23)</x:f>
      </x:c>
      <x:c r="M23" s="12" t="str">
        <x:v>Não iniciado</x:v>
      </x:c>
      <x:c r="N23" s="12" t="str">
        <x:v>Valores indicativos/didáticos. Preencher somente como estudo.</x:v>
      </x:c>
    </x:row>
    <x:row r="24">
      <x:c r="A24" s="12" t="str">
        <x:v>EST-23</x:v>
      </x:c>
      <x:c r="B24" s="12" t="str">
        <x:v>Muro de Arrimo com Drenagem</x:v>
      </x:c>
      <x:c r="C24" s="12" t="str">
        <x:v>Muros e contenções</x:v>
      </x:c>
      <x:c r="D24" s="12" t="str"/>
      <x:c r="E24" s="12" t="str"/>
      <x:c r="F24" s="12" t="str"/>
      <x:c r="G24" s="12" t="str"/>
      <x:c r="H24" s="12" t="n">
        <x:v>1</x:v>
      </x:c>
      <x:c r="I24" s="12" t="str">
        <x:f>IF(OR(E24="",F24="",G24="",H24=""),"",E24*F24*G24*H24)</x:f>
      </x:c>
      <x:c r="J24" s="12" t="str">
        <x:f>IF(OR(E24="",F24="",G24="",H24=""),"",2*(E24*G24+E24*F24+F24*G24)*H24)</x:f>
      </x:c>
      <x:c r="K24" s="12" t="str"/>
      <x:c r="L24" s="12" t="str">
        <x:f>IF(OR(I24="",K24=""),"",I24*K24)</x:f>
      </x:c>
      <x:c r="M24" s="12" t="str">
        <x:v>Não iniciado</x:v>
      </x:c>
      <x:c r="N24" s="12" t="str">
        <x:v>Valores indicativos/didáticos. Preencher somente como estudo.</x:v>
      </x:c>
    </x:row>
    <x:row r="25">
      <x:c r="A25" s="12" t="str">
        <x:v>EST-24</x:v>
      </x:c>
      <x:c r="B25" s="12" t="str">
        <x:v>Muro com Contrafortes</x:v>
      </x:c>
      <x:c r="C25" s="12" t="str">
        <x:v>Muros e contenções</x:v>
      </x:c>
      <x:c r="D25" s="12" t="str"/>
      <x:c r="E25" s="12" t="str"/>
      <x:c r="F25" s="12" t="str"/>
      <x:c r="G25" s="12" t="str"/>
      <x:c r="H25" s="12" t="n">
        <x:v>1</x:v>
      </x:c>
      <x:c r="I25" s="12" t="str">
        <x:f>IF(OR(E25="",F25="",G25="",H25=""),"",E25*F25*G25*H25)</x:f>
      </x:c>
      <x:c r="J25" s="12" t="str">
        <x:f>IF(OR(E25="",F25="",G25="",H25=""),"",2*(E25*G25+E25*F25+F25*G25)*H25)</x:f>
      </x:c>
      <x:c r="K25" s="12" t="str"/>
      <x:c r="L25" s="12" t="str">
        <x:f>IF(OR(I25="",K25=""),"",I25*K25)</x:f>
      </x:c>
      <x:c r="M25" s="12" t="str">
        <x:v>Não iniciado</x:v>
      </x:c>
      <x:c r="N25" s="12" t="str">
        <x:v>Valores indicativos/didáticos. Preencher somente como estudo.</x:v>
      </x:c>
    </x:row>
    <x:row r="26">
      <x:c r="A26" s="12" t="str">
        <x:v>EST-25</x:v>
      </x:c>
      <x:c r="B26" s="12" t="str">
        <x:v>Contenção em Terreno Inclinado</x:v>
      </x:c>
      <x:c r="C26" s="12" t="str">
        <x:v>Muros e contenções</x:v>
      </x:c>
      <x:c r="D26" s="12" t="str"/>
      <x:c r="E26" s="12" t="str"/>
      <x:c r="F26" s="12" t="str"/>
      <x:c r="G26" s="12" t="str"/>
      <x:c r="H26" s="12" t="n">
        <x:v>1</x:v>
      </x:c>
      <x:c r="I26" s="12" t="str">
        <x:f>IF(OR(E26="",F26="",G26="",H26=""),"",E26*F26*G26*H26)</x:f>
      </x:c>
      <x:c r="J26" s="12" t="str">
        <x:f>IF(OR(E26="",F26="",G26="",H26=""),"",2*(E26*G26+E26*F26+F26*G26)*H26)</x:f>
      </x:c>
      <x:c r="K26" s="12" t="str"/>
      <x:c r="L26" s="12" t="str">
        <x:f>IF(OR(I26="",K26=""),"",I26*K26)</x:f>
      </x:c>
      <x:c r="M26" s="12" t="str">
        <x:v>Não iniciado</x:v>
      </x:c>
      <x:c r="N26" s="12" t="str">
        <x:v>Valores indicativos/didáticos. Preencher somente como estudo.</x:v>
      </x:c>
    </x:row>
    <x:row r="27">
      <x:c r="A27" s="12" t="str">
        <x:v>EST-26</x:v>
      </x:c>
      <x:c r="B27" s="12" t="str">
        <x:v>Escada Reta em Concreto Armado</x:v>
      </x:c>
      <x:c r="C27" s="12" t="str">
        <x:v>Elementos especiais</x:v>
      </x:c>
      <x:c r="D27" s="12" t="str"/>
      <x:c r="E27" s="12" t="str"/>
      <x:c r="F27" s="12" t="str"/>
      <x:c r="G27" s="12" t="str"/>
      <x:c r="H27" s="12" t="n">
        <x:v>1</x:v>
      </x:c>
      <x:c r="I27" s="12" t="str">
        <x:f>IF(OR(E27="",F27="",G27="",H27=""),"",E27*F27*G27*H27)</x:f>
      </x:c>
      <x:c r="J27" s="12" t="str">
        <x:f>IF(OR(E27="",F27="",G27="",H27=""),"",2*(E27*G27+E27*F27+F27*G27)*H27)</x:f>
      </x:c>
      <x:c r="K27" s="12" t="str"/>
      <x:c r="L27" s="12" t="str">
        <x:f>IF(OR(I27="",K27=""),"",I27*K27)</x:f>
      </x:c>
      <x:c r="M27" s="12" t="str">
        <x:v>Não iniciado</x:v>
      </x:c>
      <x:c r="N27" s="12" t="str">
        <x:v>Valores indicativos/didáticos. Preencher somente como estudo.</x:v>
      </x:c>
    </x:row>
    <x:row r="28">
      <x:c r="A28" s="12" t="str">
        <x:v>EST-27</x:v>
      </x:c>
      <x:c r="B28" s="12" t="str">
        <x:v>Escada em L com Patamar</x:v>
      </x:c>
      <x:c r="C28" s="12" t="str">
        <x:v>Elementos especiais</x:v>
      </x:c>
      <x:c r="D28" s="12" t="str"/>
      <x:c r="E28" s="12" t="str"/>
      <x:c r="F28" s="12" t="str"/>
      <x:c r="G28" s="12" t="str"/>
      <x:c r="H28" s="12" t="n">
        <x:v>1</x:v>
      </x:c>
      <x:c r="I28" s="12" t="str">
        <x:f>IF(OR(E28="",F28="",G28="",H28=""),"",E28*F28*G28*H28)</x:f>
      </x:c>
      <x:c r="J28" s="12" t="str">
        <x:f>IF(OR(E28="",F28="",G28="",H28=""),"",2*(E28*G28+E28*F28+F28*G28)*H28)</x:f>
      </x:c>
      <x:c r="K28" s="12" t="str"/>
      <x:c r="L28" s="12" t="str">
        <x:f>IF(OR(I28="",K28=""),"",I28*K28)</x:f>
      </x:c>
      <x:c r="M28" s="12" t="str">
        <x:v>Não iniciado</x:v>
      </x:c>
      <x:c r="N28" s="12" t="str">
        <x:v>Valores indicativos/didáticos. Preencher somente como estudo.</x:v>
      </x:c>
    </x:row>
    <x:row r="29">
      <x:c r="A29" s="12" t="str">
        <x:v>EST-28</x:v>
      </x:c>
      <x:c r="B29" s="12" t="str">
        <x:v>Marquise em Balanço</x:v>
      </x:c>
      <x:c r="C29" s="12" t="str">
        <x:v>Elementos especiais</x:v>
      </x:c>
      <x:c r="D29" s="12" t="str"/>
      <x:c r="E29" s="12" t="str"/>
      <x:c r="F29" s="12" t="str"/>
      <x:c r="G29" s="12" t="str"/>
      <x:c r="H29" s="12" t="n">
        <x:v>1</x:v>
      </x:c>
      <x:c r="I29" s="12" t="str">
        <x:f>IF(OR(E29="",F29="",G29="",H29=""),"",E29*F29*G29*H29)</x:f>
      </x:c>
      <x:c r="J29" s="12" t="str">
        <x:f>IF(OR(E29="",F29="",G29="",H29=""),"",2*(E29*G29+E29*F29+F29*G29)*H29)</x:f>
      </x:c>
      <x:c r="K29" s="12" t="str"/>
      <x:c r="L29" s="12" t="str">
        <x:f>IF(OR(I29="",K29=""),"",I29*K29)</x:f>
      </x:c>
      <x:c r="M29" s="12" t="str">
        <x:v>Não iniciado</x:v>
      </x:c>
      <x:c r="N29" s="12" t="str">
        <x:v>Valores indicativos/didáticos. Preencher somente como estudo.</x:v>
      </x:c>
    </x:row>
    <x:row r="30">
      <x:c r="A30" s="12" t="str">
        <x:v>EST-29</x:v>
      </x:c>
      <x:c r="B30" s="12" t="str">
        <x:v>Base Estrutural para Caixa d'Água</x:v>
      </x:c>
      <x:c r="C30" s="12" t="str">
        <x:v>Elementos especiais</x:v>
      </x:c>
      <x:c r="D30" s="12" t="str"/>
      <x:c r="E30" s="12" t="str"/>
      <x:c r="F30" s="12" t="str"/>
      <x:c r="G30" s="12" t="str"/>
      <x:c r="H30" s="12" t="n">
        <x:v>1</x:v>
      </x:c>
      <x:c r="I30" s="12" t="str">
        <x:f>IF(OR(E30="",F30="",G30="",H30=""),"",E30*F30*G30*H30)</x:f>
      </x:c>
      <x:c r="J30" s="12" t="str">
        <x:f>IF(OR(E30="",F30="",G30="",H30=""),"",2*(E30*G30+E30*F30+F30*G30)*H30)</x:f>
      </x:c>
      <x:c r="K30" s="12" t="str"/>
      <x:c r="L30" s="12" t="str">
        <x:f>IF(OR(I30="",K30=""),"",I30*K30)</x:f>
      </x:c>
      <x:c r="M30" s="12" t="str">
        <x:v>Não iniciado</x:v>
      </x:c>
      <x:c r="N30" s="12" t="str">
        <x:v>Valores indicativos/didáticos. Preencher somente como estudo.</x:v>
      </x:c>
    </x:row>
    <x:row r="31">
      <x:c r="A31" s="12" t="str">
        <x:v>EST-30</x:v>
      </x:c>
      <x:c r="B31" s="12" t="str">
        <x:v>Reservatório Apoiado Conceitual</x:v>
      </x:c>
      <x:c r="C31" s="12" t="str">
        <x:v>Elementos especiais</x:v>
      </x:c>
      <x:c r="D31" s="12" t="str"/>
      <x:c r="E31" s="12" t="str"/>
      <x:c r="F31" s="12" t="str"/>
      <x:c r="G31" s="12" t="str"/>
      <x:c r="H31" s="12" t="n">
        <x:v>1</x:v>
      </x:c>
      <x:c r="I31" s="12" t="str">
        <x:f>IF(OR(E31="",F31="",G31="",H31=""),"",E31*F31*G31*H31)</x:f>
      </x:c>
      <x:c r="J31" s="12" t="str">
        <x:f>IF(OR(E31="",F31="",G31="",H31=""),"",2*(E31*G31+E31*F31+F31*G31)*H31)</x:f>
      </x:c>
      <x:c r="K31" s="12" t="str"/>
      <x:c r="L31" s="12" t="str">
        <x:f>IF(OR(I31="",K31=""),"",I31*K31)</x:f>
      </x:c>
      <x:c r="M31" s="12" t="str">
        <x:v>Não iniciado</x:v>
      </x:c>
      <x:c r="N31" s="12" t="str">
        <x:v>Valores indicativos/didáticos. Preencher somente como estudo.</x:v>
      </x:c>
    </x:row>
    <x:row r="32">
      <x:c r="A32" s="12" t="str">
        <x:v>EST-31</x:v>
      </x:c>
      <x:c r="B32" s="12" t="str">
        <x:v>Pórtico Metálico Simples</x:v>
      </x:c>
      <x:c r="C32" s="12" t="str">
        <x:v>Metálicas e madeira</x:v>
      </x:c>
      <x:c r="D32" s="12" t="str"/>
      <x:c r="E32" s="12" t="str"/>
      <x:c r="F32" s="12" t="str"/>
      <x:c r="G32" s="12" t="str"/>
      <x:c r="H32" s="12" t="n">
        <x:v>1</x:v>
      </x:c>
      <x:c r="I32" s="12" t="str">
        <x:f>IF(OR(E32="",F32="",G32="",H32=""),"",E32*F32*G32*H32)</x:f>
      </x:c>
      <x:c r="J32" s="12" t="str">
        <x:f>IF(OR(E32="",F32="",G32="",H32=""),"",2*(E32*G32+E32*F32+F32*G32)*H32)</x:f>
      </x:c>
      <x:c r="K32" s="12" t="str"/>
      <x:c r="L32" s="12" t="str">
        <x:f>IF(OR(I32="",K32=""),"",I32*K32)</x:f>
      </x:c>
      <x:c r="M32" s="12" t="str">
        <x:v>Não iniciado</x:v>
      </x:c>
      <x:c r="N32" s="12" t="str">
        <x:v>Valores indicativos/didáticos. Preencher somente como estudo.</x:v>
      </x:c>
    </x:row>
    <x:row r="33">
      <x:c r="A33" s="12" t="str">
        <x:v>EST-32</x:v>
      </x:c>
      <x:c r="B33" s="12" t="str">
        <x:v>Viga Metálica com Chapa de Ligação</x:v>
      </x:c>
      <x:c r="C33" s="12" t="str">
        <x:v>Metálicas e madeira</x:v>
      </x:c>
      <x:c r="D33" s="12" t="str"/>
      <x:c r="E33" s="12" t="str"/>
      <x:c r="F33" s="12" t="str"/>
      <x:c r="G33" s="12" t="str"/>
      <x:c r="H33" s="12" t="n">
        <x:v>1</x:v>
      </x:c>
      <x:c r="I33" s="12" t="str">
        <x:f>IF(OR(E33="",F33="",G33="",H33=""),"",E33*F33*G33*H33)</x:f>
      </x:c>
      <x:c r="J33" s="12" t="str">
        <x:f>IF(OR(E33="",F33="",G33="",H33=""),"",2*(E33*G33+E33*F33+F33*G33)*H33)</x:f>
      </x:c>
      <x:c r="K33" s="12" t="str"/>
      <x:c r="L33" s="12" t="str">
        <x:f>IF(OR(I33="",K33=""),"",I33*K33)</x:f>
      </x:c>
      <x:c r="M33" s="12" t="str">
        <x:v>Não iniciado</x:v>
      </x:c>
      <x:c r="N33" s="12" t="str">
        <x:v>Valores indicativos/didáticos. Preencher somente como estudo.</x:v>
      </x:c>
    </x:row>
    <x:row r="34">
      <x:c r="A34" s="12" t="str">
        <x:v>EST-33</x:v>
      </x:c>
      <x:c r="B34" s="12" t="str">
        <x:v>Pilar Metálico com Base Chumbada</x:v>
      </x:c>
      <x:c r="C34" s="12" t="str">
        <x:v>Metálicas e madeira</x:v>
      </x:c>
      <x:c r="D34" s="12" t="str"/>
      <x:c r="E34" s="12" t="str"/>
      <x:c r="F34" s="12" t="str"/>
      <x:c r="G34" s="12" t="str"/>
      <x:c r="H34" s="12" t="n">
        <x:v>1</x:v>
      </x:c>
      <x:c r="I34" s="12" t="str">
        <x:f>IF(OR(E34="",F34="",G34="",H34=""),"",E34*F34*G34*H34)</x:f>
      </x:c>
      <x:c r="J34" s="12" t="str">
        <x:f>IF(OR(E34="",F34="",G34="",H34=""),"",2*(E34*G34+E34*F34+F34*G34)*H34)</x:f>
      </x:c>
      <x:c r="K34" s="12" t="str"/>
      <x:c r="L34" s="12" t="str">
        <x:f>IF(OR(I34="",K34=""),"",I34*K34)</x:f>
      </x:c>
      <x:c r="M34" s="12" t="str">
        <x:v>Não iniciado</x:v>
      </x:c>
      <x:c r="N34" s="12" t="str">
        <x:v>Valores indicativos/didáticos. Preencher somente como estudo.</x:v>
      </x:c>
    </x:row>
    <x:row r="35">
      <x:c r="A35" s="12" t="str">
        <x:v>EST-34</x:v>
      </x:c>
      <x:c r="B35" s="12" t="str">
        <x:v>Tesoura Metálica para Cobertura</x:v>
      </x:c>
      <x:c r="C35" s="12" t="str">
        <x:v>Metálicas e madeira</x:v>
      </x:c>
      <x:c r="D35" s="12" t="str"/>
      <x:c r="E35" s="12" t="str"/>
      <x:c r="F35" s="12" t="str"/>
      <x:c r="G35" s="12" t="str"/>
      <x:c r="H35" s="12" t="n">
        <x:v>1</x:v>
      </x:c>
      <x:c r="I35" s="12" t="str">
        <x:f>IF(OR(E35="",F35="",G35="",H35=""),"",E35*F35*G35*H35)</x:f>
      </x:c>
      <x:c r="J35" s="12" t="str">
        <x:f>IF(OR(E35="",F35="",G35="",H35=""),"",2*(E35*G35+E35*F35+F35*G35)*H35)</x:f>
      </x:c>
      <x:c r="K35" s="12" t="str"/>
      <x:c r="L35" s="12" t="str">
        <x:f>IF(OR(I35="",K35=""),"",I35*K35)</x:f>
      </x:c>
      <x:c r="M35" s="12" t="str">
        <x:v>Não iniciado</x:v>
      </x:c>
      <x:c r="N35" s="12" t="str">
        <x:v>Valores indicativos/didáticos. Preencher somente como estudo.</x:v>
      </x:c>
    </x:row>
    <x:row r="36">
      <x:c r="A36" s="12" t="str">
        <x:v>EST-35</x:v>
      </x:c>
      <x:c r="B36" s="12" t="str">
        <x:v>Estrutura de Madeira para Cobertura</x:v>
      </x:c>
      <x:c r="C36" s="12" t="str">
        <x:v>Metálicas e madeira</x:v>
      </x:c>
      <x:c r="D36" s="12" t="str"/>
      <x:c r="E36" s="12" t="str"/>
      <x:c r="F36" s="12" t="str"/>
      <x:c r="G36" s="12" t="str"/>
      <x:c r="H36" s="12" t="n">
        <x:v>1</x:v>
      </x:c>
      <x:c r="I36" s="12" t="str">
        <x:f>IF(OR(E36="",F36="",G36="",H36=""),"",E36*F36*G36*H36)</x:f>
      </x:c>
      <x:c r="J36" s="12" t="str">
        <x:f>IF(OR(E36="",F36="",G36="",H36=""),"",2*(E36*G36+E36*F36+F36*G36)*H36)</x:f>
      </x:c>
      <x:c r="K36" s="12" t="str"/>
      <x:c r="L36" s="12" t="str">
        <x:f>IF(OR(I36="",K36=""),"",I36*K36)</x:f>
      </x:c>
      <x:c r="M36" s="12" t="str">
        <x:v>Não iniciado</x:v>
      </x:c>
      <x:c r="N36" s="12" t="str">
        <x:v>Valores indicativos/didáticos. Preencher somente como estudo.</x:v>
      </x:c>
    </x:row>
    <x:row r="37">
      <x:c r="A37" s="12" t="str">
        <x:v>EST-36</x:v>
      </x:c>
      <x:c r="B37" s="12" t="str">
        <x:v>Mapa de Fissuras em Viga</x:v>
      </x:c>
      <x:c r="C37" s="12" t="str">
        <x:v>Patologias</x:v>
      </x:c>
      <x:c r="D37" s="12" t="str"/>
      <x:c r="E37" s="12" t="str"/>
      <x:c r="F37" s="12" t="str"/>
      <x:c r="G37" s="12" t="str"/>
      <x:c r="H37" s="12" t="n">
        <x:v>1</x:v>
      </x:c>
      <x:c r="I37" s="12" t="str">
        <x:f>IF(OR(E37="",F37="",G37="",H37=""),"",E37*F37*G37*H37)</x:f>
      </x:c>
      <x:c r="J37" s="12" t="str">
        <x:f>IF(OR(E37="",F37="",G37="",H37=""),"",2*(E37*G37+E37*F37+F37*G37)*H37)</x:f>
      </x:c>
      <x:c r="K37" s="12" t="str"/>
      <x:c r="L37" s="12" t="str">
        <x:f>IF(OR(I37="",K37=""),"",I37*K37)</x:f>
      </x:c>
      <x:c r="M37" s="12" t="str">
        <x:v>Não iniciado</x:v>
      </x:c>
      <x:c r="N37" s="12" t="str">
        <x:v>Valores indicativos/didáticos. Preencher somente como estudo.</x:v>
      </x:c>
    </x:row>
    <x:row r="38">
      <x:c r="A38" s="12" t="str">
        <x:v>EST-37</x:v>
      </x:c>
      <x:c r="B38" s="12" t="str">
        <x:v>Trinca em Pilar - Registro Visual</x:v>
      </x:c>
      <x:c r="C38" s="12" t="str">
        <x:v>Patologias</x:v>
      </x:c>
      <x:c r="D38" s="12" t="str"/>
      <x:c r="E38" s="12" t="str"/>
      <x:c r="F38" s="12" t="str"/>
      <x:c r="G38" s="12" t="str"/>
      <x:c r="H38" s="12" t="n">
        <x:v>1</x:v>
      </x:c>
      <x:c r="I38" s="12" t="str">
        <x:f>IF(OR(E38="",F38="",G38="",H38=""),"",E38*F38*G38*H38)</x:f>
      </x:c>
      <x:c r="J38" s="12" t="str">
        <x:f>IF(OR(E38="",F38="",G38="",H38=""),"",2*(E38*G38+E38*F38+F38*G38)*H38)</x:f>
      </x:c>
      <x:c r="K38" s="12" t="str"/>
      <x:c r="L38" s="12" t="str">
        <x:f>IF(OR(I38="",K38=""),"",I38*K38)</x:f>
      </x:c>
      <x:c r="M38" s="12" t="str">
        <x:v>Não iniciado</x:v>
      </x:c>
      <x:c r="N38" s="12" t="str">
        <x:v>Valores indicativos/didáticos. Preencher somente como estudo.</x:v>
      </x:c>
    </x:row>
    <x:row r="39">
      <x:c r="A39" s="12" t="str">
        <x:v>EST-38</x:v>
      </x:c>
      <x:c r="B39" s="12" t="str">
        <x:v>Recalque Diferencial Conceitual</x:v>
      </x:c>
      <x:c r="C39" s="12" t="str">
        <x:v>Patologias</x:v>
      </x:c>
      <x:c r="D39" s="12" t="str"/>
      <x:c r="E39" s="12" t="str"/>
      <x:c r="F39" s="12" t="str"/>
      <x:c r="G39" s="12" t="str"/>
      <x:c r="H39" s="12" t="n">
        <x:v>1</x:v>
      </x:c>
      <x:c r="I39" s="12" t="str">
        <x:f>IF(OR(E39="",F39="",G39="",H39=""),"",E39*F39*G39*H39)</x:f>
      </x:c>
      <x:c r="J39" s="12" t="str">
        <x:f>IF(OR(E39="",F39="",G39="",H39=""),"",2*(E39*G39+E39*F39+F39*G39)*H39)</x:f>
      </x:c>
      <x:c r="K39" s="12" t="str"/>
      <x:c r="L39" s="12" t="str">
        <x:f>IF(OR(I39="",K39=""),"",I39*K39)</x:f>
      </x:c>
      <x:c r="M39" s="12" t="str">
        <x:v>Não iniciado</x:v>
      </x:c>
      <x:c r="N39" s="12" t="str">
        <x:v>Valores indicativos/didáticos. Preencher somente como estudo.</x:v>
      </x:c>
    </x:row>
    <x:row r="40">
      <x:c r="A40" s="12" t="str">
        <x:v>EST-39</x:v>
      </x:c>
      <x:c r="B40" s="12" t="str">
        <x:v>Corrosão de Armadura em Laje</x:v>
      </x:c>
      <x:c r="C40" s="12" t="str">
        <x:v>Patologias</x:v>
      </x:c>
      <x:c r="D40" s="12" t="str"/>
      <x:c r="E40" s="12" t="str"/>
      <x:c r="F40" s="12" t="str"/>
      <x:c r="G40" s="12" t="str"/>
      <x:c r="H40" s="12" t="n">
        <x:v>1</x:v>
      </x:c>
      <x:c r="I40" s="12" t="str">
        <x:f>IF(OR(E40="",F40="",G40="",H40=""),"",E40*F40*G40*H40)</x:f>
      </x:c>
      <x:c r="J40" s="12" t="str">
        <x:f>IF(OR(E40="",F40="",G40="",H40=""),"",2*(E40*G40+E40*F40+F40*G40)*H40)</x:f>
      </x:c>
      <x:c r="K40" s="12" t="str"/>
      <x:c r="L40" s="12" t="str">
        <x:f>IF(OR(I40="",K40=""),"",I40*K40)</x:f>
      </x:c>
      <x:c r="M40" s="12" t="str">
        <x:v>Não iniciado</x:v>
      </x:c>
      <x:c r="N40" s="12" t="str">
        <x:v>Valores indicativos/didáticos. Preencher somente como estudo.</x:v>
      </x:c>
    </x:row>
    <x:row r="41">
      <x:c r="A41" s="12" t="str">
        <x:v>EST-40</x:v>
      </x:c>
      <x:c r="B41" s="12" t="str">
        <x:v>Checklist de Vistoria Estrutural Inicial</x:v>
      </x:c>
      <x:c r="C41" s="12" t="str">
        <x:v>Patologias</x:v>
      </x:c>
      <x:c r="D41" s="12" t="str"/>
      <x:c r="E41" s="12" t="str"/>
      <x:c r="F41" s="12" t="str"/>
      <x:c r="G41" s="12" t="str"/>
      <x:c r="H41" s="12" t="n">
        <x:v>1</x:v>
      </x:c>
      <x:c r="I41" s="12" t="str">
        <x:f>IF(OR(E41="",F41="",G41="",H41=""),"",E41*F41*G41*H41)</x:f>
      </x:c>
      <x:c r="J41" s="12" t="str">
        <x:f>IF(OR(E41="",F41="",G41="",H41=""),"",2*(E41*G41+E41*F41+F41*G41)*H41)</x:f>
      </x:c>
      <x:c r="K41" s="12" t="str"/>
      <x:c r="L41" s="12" t="str">
        <x:f>IF(OR(I41="",K41=""),"",I41*K41)</x:f>
      </x:c>
      <x:c r="M41" s="12" t="str">
        <x:v>Não iniciado</x:v>
      </x:c>
      <x:c r="N41" s="12" t="str">
        <x:v>Valores indicativos/didáticos. Preencher somente como estudo.</x:v>
      </x:c>
    </x:row>
    <x:row r="42">
      <x:c r="A42" s="12" t="str">
        <x:v>EST-41</x:v>
      </x:c>
      <x:c r="B42" s="12" t="str">
        <x:v>Compatibilização Pilar x Arquitetura</x:v>
      </x:c>
      <x:c r="C42" s="12" t="str">
        <x:v>Compatibilização</x:v>
      </x:c>
      <x:c r="D42" s="12" t="str"/>
      <x:c r="E42" s="12" t="str"/>
      <x:c r="F42" s="12" t="str"/>
      <x:c r="G42" s="12" t="str"/>
      <x:c r="H42" s="12" t="n">
        <x:v>1</x:v>
      </x:c>
      <x:c r="I42" s="12" t="str">
        <x:f>IF(OR(E42="",F42="",G42="",H42=""),"",E42*F42*G42*H42)</x:f>
      </x:c>
      <x:c r="J42" s="12" t="str">
        <x:f>IF(OR(E42="",F42="",G42="",H42=""),"",2*(E42*G42+E42*F42+F42*G42)*H42)</x:f>
      </x:c>
      <x:c r="K42" s="12" t="str"/>
      <x:c r="L42" s="12" t="str">
        <x:f>IF(OR(I42="",K42=""),"",I42*K42)</x:f>
      </x:c>
      <x:c r="M42" s="12" t="str">
        <x:v>Não iniciado</x:v>
      </x:c>
      <x:c r="N42" s="12" t="str">
        <x:v>Valores indicativos/didáticos. Preencher somente como estudo.</x:v>
      </x:c>
    </x:row>
    <x:row r="43">
      <x:c r="A43" s="12" t="str">
        <x:v>EST-42</x:v>
      </x:c>
      <x:c r="B43" s="12" t="str">
        <x:v>Compatibilização Viga x Forro</x:v>
      </x:c>
      <x:c r="C43" s="12" t="str">
        <x:v>Compatibilização</x:v>
      </x:c>
      <x:c r="D43" s="12" t="str"/>
      <x:c r="E43" s="12" t="str"/>
      <x:c r="F43" s="12" t="str"/>
      <x:c r="G43" s="12" t="str"/>
      <x:c r="H43" s="12" t="n">
        <x:v>1</x:v>
      </x:c>
      <x:c r="I43" s="12" t="str">
        <x:f>IF(OR(E43="",F43="",G43="",H43=""),"",E43*F43*G43*H43)</x:f>
      </x:c>
      <x:c r="J43" s="12" t="str">
        <x:f>IF(OR(E43="",F43="",G43="",H43=""),"",2*(E43*G43+E43*F43+F43*G43)*H43)</x:f>
      </x:c>
      <x:c r="K43" s="12" t="str"/>
      <x:c r="L43" s="12" t="str">
        <x:f>IF(OR(I43="",K43=""),"",I43*K43)</x:f>
      </x:c>
      <x:c r="M43" s="12" t="str">
        <x:v>Não iniciado</x:v>
      </x:c>
      <x:c r="N43" s="12" t="str">
        <x:v>Valores indicativos/didáticos. Preencher somente como estudo.</x:v>
      </x:c>
    </x:row>
    <x:row r="44">
      <x:c r="A44" s="12" t="str">
        <x:v>EST-43</x:v>
      </x:c>
      <x:c r="B44" s="12" t="str">
        <x:v>Shaft Técnico atravessando Laje</x:v>
      </x:c>
      <x:c r="C44" s="12" t="str">
        <x:v>Compatibilização</x:v>
      </x:c>
      <x:c r="D44" s="12" t="str"/>
      <x:c r="E44" s="12" t="str"/>
      <x:c r="F44" s="12" t="str"/>
      <x:c r="G44" s="12" t="str"/>
      <x:c r="H44" s="12" t="n">
        <x:v>1</x:v>
      </x:c>
      <x:c r="I44" s="12" t="str">
        <x:f>IF(OR(E44="",F44="",G44="",H44=""),"",E44*F44*G44*H44)</x:f>
      </x:c>
      <x:c r="J44" s="12" t="str">
        <x:f>IF(OR(E44="",F44="",G44="",H44=""),"",2*(E44*G44+E44*F44+F44*G44)*H44)</x:f>
      </x:c>
      <x:c r="K44" s="12" t="str"/>
      <x:c r="L44" s="12" t="str">
        <x:f>IF(OR(I44="",K44=""),"",I44*K44)</x:f>
      </x:c>
      <x:c r="M44" s="12" t="str">
        <x:v>Não iniciado</x:v>
      </x:c>
      <x:c r="N44" s="12" t="str">
        <x:v>Valores indicativos/didáticos. Preencher somente como estudo.</x:v>
      </x:c>
    </x:row>
    <x:row r="45">
      <x:c r="A45" s="12" t="str">
        <x:v>EST-44</x:v>
      </x:c>
      <x:c r="B45" s="12" t="str">
        <x:v>Interferência Hidráulica em Viga</x:v>
      </x:c>
      <x:c r="C45" s="12" t="str">
        <x:v>Compatibilização</x:v>
      </x:c>
      <x:c r="D45" s="12" t="str"/>
      <x:c r="E45" s="12" t="str"/>
      <x:c r="F45" s="12" t="str"/>
      <x:c r="G45" s="12" t="str"/>
      <x:c r="H45" s="12" t="n">
        <x:v>1</x:v>
      </x:c>
      <x:c r="I45" s="12" t="str">
        <x:f>IF(OR(E45="",F45="",G45="",H45=""),"",E45*F45*G45*H45)</x:f>
      </x:c>
      <x:c r="J45" s="12" t="str">
        <x:f>IF(OR(E45="",F45="",G45="",H45=""),"",2*(E45*G45+E45*F45+F45*G45)*H45)</x:f>
      </x:c>
      <x:c r="K45" s="12" t="str"/>
      <x:c r="L45" s="12" t="str">
        <x:f>IF(OR(I45="",K45=""),"",I45*K45)</x:f>
      </x:c>
      <x:c r="M45" s="12" t="str">
        <x:v>Não iniciado</x:v>
      </x:c>
      <x:c r="N45" s="12" t="str">
        <x:v>Valores indicativos/didáticos. Preencher somente como estudo.</x:v>
      </x:c>
    </x:row>
    <x:row r="46">
      <x:c r="A46" s="12" t="str">
        <x:v>EST-45</x:v>
      </x:c>
      <x:c r="B46" s="12" t="str">
        <x:v>Mapa de Conflitos Estruturais</x:v>
      </x:c>
      <x:c r="C46" s="12" t="str">
        <x:v>Compatibilização</x:v>
      </x:c>
      <x:c r="D46" s="12" t="str"/>
      <x:c r="E46" s="12" t="str"/>
      <x:c r="F46" s="12" t="str"/>
      <x:c r="G46" s="12" t="str"/>
      <x:c r="H46" s="12" t="n">
        <x:v>1</x:v>
      </x:c>
      <x:c r="I46" s="12" t="str">
        <x:f>IF(OR(E46="",F46="",G46="",H46=""),"",E46*F46*G46*H46)</x:f>
      </x:c>
      <x:c r="J46" s="12" t="str">
        <x:f>IF(OR(E46="",F46="",G46="",H46=""),"",2*(E46*G46+E46*F46+F46*G46)*H46)</x:f>
      </x:c>
      <x:c r="K46" s="12" t="str"/>
      <x:c r="L46" s="12" t="str">
        <x:f>IF(OR(I46="",K46=""),"",I46*K46)</x:f>
      </x:c>
      <x:c r="M46" s="12" t="str">
        <x:v>Não iniciado</x:v>
      </x:c>
      <x:c r="N46" s="12" t="str">
        <x:v>Valores indicativos/didáticos. Preencher somente como estudo.</x:v>
      </x:c>
    </x:row>
    <x:row r="47">
      <x:c r="A47" s="12" t="str">
        <x:v>EST-46</x:v>
      </x:c>
      <x:c r="B47" s="12" t="str">
        <x:v>Planta Estrutural Residencial Modelo</x:v>
      </x:c>
      <x:c r="C47" s="12" t="str">
        <x:v>Pranchas finais</x:v>
      </x:c>
      <x:c r="D47" s="12" t="str"/>
      <x:c r="E47" s="12" t="str"/>
      <x:c r="F47" s="12" t="str"/>
      <x:c r="G47" s="12" t="str"/>
      <x:c r="H47" s="12" t="n">
        <x:v>1</x:v>
      </x:c>
      <x:c r="I47" s="12" t="str">
        <x:f>IF(OR(E47="",F47="",G47="",H47=""),"",E47*F47*G47*H47)</x:f>
      </x:c>
      <x:c r="J47" s="12" t="str">
        <x:f>IF(OR(E47="",F47="",G47="",H47=""),"",2*(E47*G47+E47*F47+F47*G47)*H47)</x:f>
      </x:c>
      <x:c r="K47" s="12" t="str"/>
      <x:c r="L47" s="12" t="str">
        <x:f>IF(OR(I47="",K47=""),"",I47*K47)</x:f>
      </x:c>
      <x:c r="M47" s="12" t="str">
        <x:v>Não iniciado</x:v>
      </x:c>
      <x:c r="N47" s="12" t="str">
        <x:v>Valores indicativos/didáticos. Preencher somente como estudo.</x:v>
      </x:c>
    </x:row>
    <x:row r="48">
      <x:c r="A48" s="12" t="str">
        <x:v>EST-47</x:v>
      </x:c>
      <x:c r="B48" s="12" t="str">
        <x:v>Cortes Estruturais Integrados</x:v>
      </x:c>
      <x:c r="C48" s="12" t="str">
        <x:v>Pranchas finais</x:v>
      </x:c>
      <x:c r="D48" s="12" t="str"/>
      <x:c r="E48" s="12" t="str"/>
      <x:c r="F48" s="12" t="str"/>
      <x:c r="G48" s="12" t="str"/>
      <x:c r="H48" s="12" t="n">
        <x:v>1</x:v>
      </x:c>
      <x:c r="I48" s="12" t="str">
        <x:f>IF(OR(E48="",F48="",G48="",H48=""),"",E48*F48*G48*H48)</x:f>
      </x:c>
      <x:c r="J48" s="12" t="str">
        <x:f>IF(OR(E48="",F48="",G48="",H48=""),"",2*(E48*G48+E48*F48+F48*G48)*H48)</x:f>
      </x:c>
      <x:c r="K48" s="12" t="str"/>
      <x:c r="L48" s="12" t="str">
        <x:f>IF(OR(I48="",K48=""),"",I48*K48)</x:f>
      </x:c>
      <x:c r="M48" s="12" t="str">
        <x:v>Não iniciado</x:v>
      </x:c>
      <x:c r="N48" s="12" t="str">
        <x:v>Valores indicativos/didáticos. Preencher somente como estudo.</x:v>
      </x:c>
    </x:row>
    <x:row r="49">
      <x:c r="A49" s="12" t="str">
        <x:v>EST-48</x:v>
      </x:c>
      <x:c r="B49" s="12" t="str">
        <x:v>Detalhamento Geral de Elementos Estruturais</x:v>
      </x:c>
      <x:c r="C49" s="12" t="str">
        <x:v>Pranchas finais</x:v>
      </x:c>
      <x:c r="D49" s="12" t="str"/>
      <x:c r="E49" s="12" t="str"/>
      <x:c r="F49" s="12" t="str"/>
      <x:c r="G49" s="12" t="str"/>
      <x:c r="H49" s="12" t="n">
        <x:v>1</x:v>
      </x:c>
      <x:c r="I49" s="12" t="str">
        <x:f>IF(OR(E49="",F49="",G49="",H49=""),"",E49*F49*G49*H49)</x:f>
      </x:c>
      <x:c r="J49" s="12" t="str">
        <x:f>IF(OR(E49="",F49="",G49="",H49=""),"",2*(E49*G49+E49*F49+F49*G49)*H49)</x:f>
      </x:c>
      <x:c r="K49" s="12" t="str"/>
      <x:c r="L49" s="12" t="str">
        <x:f>IF(OR(I49="",K49=""),"",I49*K49)</x:f>
      </x:c>
      <x:c r="M49" s="12" t="str">
        <x:v>Não iniciado</x:v>
      </x:c>
      <x:c r="N49" s="12" t="str">
        <x:v>Valores indicativos/didáticos. Preencher somente como estudo.</x:v>
      </x:c>
    </x:row>
    <x:row r="50">
      <x:c r="A50" s="12" t="str">
        <x:v>EST-49</x:v>
      </x:c>
      <x:c r="B50" s="12" t="str">
        <x:v>Quadro de Quantitativos Estruturais</x:v>
      </x:c>
      <x:c r="C50" s="12" t="str">
        <x:v>Pranchas finais</x:v>
      </x:c>
      <x:c r="D50" s="12" t="str"/>
      <x:c r="E50" s="12" t="str"/>
      <x:c r="F50" s="12" t="str"/>
      <x:c r="G50" s="12" t="str"/>
      <x:c r="H50" s="12" t="n">
        <x:v>1</x:v>
      </x:c>
      <x:c r="I50" s="12" t="str">
        <x:f>IF(OR(E50="",F50="",G50="",H50=""),"",E50*F50*G50*H50)</x:f>
      </x:c>
      <x:c r="J50" s="12" t="str">
        <x:f>IF(OR(E50="",F50="",G50="",H50=""),"",2*(E50*G50+E50*F50+F50*G50)*H50)</x:f>
      </x:c>
      <x:c r="K50" s="12" t="str"/>
      <x:c r="L50" s="12" t="str">
        <x:f>IF(OR(I50="",K50=""),"",I50*K50)</x:f>
      </x:c>
      <x:c r="M50" s="12" t="str">
        <x:v>Não iniciado</x:v>
      </x:c>
      <x:c r="N50" s="12" t="str">
        <x:v>Valores indicativos/didáticos. Preencher somente como estudo.</x:v>
      </x:c>
    </x:row>
    <x:row r="51">
      <x:c r="A51" s="12" t="str">
        <x:v>EST-50</x:v>
      </x:c>
      <x:c r="B51" s="12" t="str">
        <x:v>Dossiê Estrutural Conceitual para Estudo</x:v>
      </x:c>
      <x:c r="C51" s="12" t="str">
        <x:v>Pranchas finais</x:v>
      </x:c>
      <x:c r="D51" s="12" t="str"/>
      <x:c r="E51" s="12" t="str"/>
      <x:c r="F51" s="12" t="str"/>
      <x:c r="G51" s="12" t="str"/>
      <x:c r="H51" s="12" t="n">
        <x:v>1</x:v>
      </x:c>
      <x:c r="I51" s="12" t="str">
        <x:f>IF(OR(E51="",F51="",G51="",H51=""),"",E51*F51*G51*H51)</x:f>
      </x:c>
      <x:c r="J51" s="12" t="str">
        <x:f>IF(OR(E51="",F51="",G51="",H51=""),"",2*(E51*G51+E51*F51+F51*G51)*H51)</x:f>
      </x:c>
      <x:c r="K51" s="12" t="str"/>
      <x:c r="L51" s="12" t="str">
        <x:f>IF(OR(I51="",K51=""),"",I51*K51)</x:f>
      </x:c>
      <x:c r="M51" s="12" t="str">
        <x:v>Não iniciado</x:v>
      </x:c>
      <x:c r="N51" s="12" t="str">
        <x:v>Valores indicativos/didáticos. Preencher somente como estudo.</x:v>
      </x:c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 t="str">
        <x:f>IF(OR(E52="",F52="",G52="",H52=""),"",E52*F52*G52*H52)</x:f>
      </x:c>
      <x:c r="J52" s="12" t="str">
        <x:f>IF(OR(E52="",F52="",G52="",H52=""),"",2*(E52*G52+E52*F52+F52*G52)*H52)</x:f>
      </x:c>
      <x:c r="K52" s="12"/>
      <x:c r="L52" s="12" t="str">
        <x:f>IF(OR(I52="",K52=""),"",I52*K52)</x:f>
      </x:c>
      <x:c r="M52" s="12"/>
      <x:c r="N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 t="str">
        <x:f>IF(OR(E53="",F53="",G53="",H53=""),"",E53*F53*G53*H53)</x:f>
      </x:c>
      <x:c r="J53" s="12" t="str">
        <x:f>IF(OR(E53="",F53="",G53="",H53=""),"",2*(E53*G53+E53*F53+F53*G53)*H53)</x:f>
      </x:c>
      <x:c r="K53" s="12"/>
      <x:c r="L53" s="12" t="str">
        <x:f>IF(OR(I53="",K53=""),"",I53*K53)</x:f>
      </x:c>
      <x:c r="M53" s="12"/>
      <x:c r="N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 t="str">
        <x:f>IF(OR(E54="",F54="",G54="",H54=""),"",E54*F54*G54*H54)</x:f>
      </x:c>
      <x:c r="J54" s="12" t="str">
        <x:f>IF(OR(E54="",F54="",G54="",H54=""),"",2*(E54*G54+E54*F54+F54*G54)*H54)</x:f>
      </x:c>
      <x:c r="K54" s="12"/>
      <x:c r="L54" s="12" t="str">
        <x:f>IF(OR(I54="",K54=""),"",I54*K54)</x:f>
      </x:c>
      <x:c r="M54" s="12"/>
      <x:c r="N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 t="str">
        <x:f>IF(OR(E55="",F55="",G55="",H55=""),"",E55*F55*G55*H55)</x:f>
      </x:c>
      <x:c r="J55" s="12" t="str">
        <x:f>IF(OR(E55="",F55="",G55="",H55=""),"",2*(E55*G55+E55*F55+F55*G55)*H55)</x:f>
      </x:c>
      <x:c r="K55" s="12"/>
      <x:c r="L55" s="12" t="str">
        <x:f>IF(OR(I55="",K55=""),"",I55*K55)</x:f>
      </x:c>
      <x:c r="M55" s="12"/>
      <x:c r="N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 t="str">
        <x:f>IF(OR(E56="",F56="",G56="",H56=""),"",E56*F56*G56*H56)</x:f>
      </x:c>
      <x:c r="J56" s="12" t="str">
        <x:f>IF(OR(E56="",F56="",G56="",H56=""),"",2*(E56*G56+E56*F56+F56*G56)*H56)</x:f>
      </x:c>
      <x:c r="K56" s="12"/>
      <x:c r="L56" s="12" t="str">
        <x:f>IF(OR(I56="",K56=""),"",I56*K56)</x:f>
      </x:c>
      <x:c r="M56" s="12"/>
      <x:c r="N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 t="str">
        <x:f>IF(OR(E57="",F57="",G57="",H57=""),"",E57*F57*G57*H57)</x:f>
      </x:c>
      <x:c r="J57" s="12" t="str">
        <x:f>IF(OR(E57="",F57="",G57="",H57=""),"",2*(E57*G57+E57*F57+F57*G57)*H57)</x:f>
      </x:c>
      <x:c r="K57" s="12"/>
      <x:c r="L57" s="12" t="str">
        <x:f>IF(OR(I57="",K57=""),"",I57*K57)</x:f>
      </x:c>
      <x:c r="M57" s="12"/>
      <x:c r="N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 t="str">
        <x:f>IF(OR(E58="",F58="",G58="",H58=""),"",E58*F58*G58*H58)</x:f>
      </x:c>
      <x:c r="J58" s="12" t="str">
        <x:f>IF(OR(E58="",F58="",G58="",H58=""),"",2*(E58*G58+E58*F58+F58*G58)*H58)</x:f>
      </x:c>
      <x:c r="K58" s="12"/>
      <x:c r="L58" s="12" t="str">
        <x:f>IF(OR(I58="",K58=""),"",I58*K58)</x:f>
      </x:c>
      <x:c r="M58" s="12"/>
      <x:c r="N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 t="str">
        <x:f>IF(OR(E59="",F59="",G59="",H59=""),"",E59*F59*G59*H59)</x:f>
      </x:c>
      <x:c r="J59" s="12" t="str">
        <x:f>IF(OR(E59="",F59="",G59="",H59=""),"",2*(E59*G59+E59*F59+F59*G59)*H59)</x:f>
      </x:c>
      <x:c r="K59" s="12"/>
      <x:c r="L59" s="12" t="str">
        <x:f>IF(OR(I59="",K59=""),"",I59*K59)</x:f>
      </x:c>
      <x:c r="M59" s="12"/>
      <x:c r="N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 t="str">
        <x:f>IF(OR(E60="",F60="",G60="",H60=""),"",E60*F60*G60*H60)</x:f>
      </x:c>
      <x:c r="J60" s="12" t="str">
        <x:f>IF(OR(E60="",F60="",G60="",H60=""),"",2*(E60*G60+E60*F60+F60*G60)*H60)</x:f>
      </x:c>
      <x:c r="K60" s="12"/>
      <x:c r="L60" s="12" t="str">
        <x:f>IF(OR(I60="",K60=""),"",I60*K60)</x:f>
      </x:c>
      <x:c r="M60" s="12"/>
      <x:c r="N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 t="str">
        <x:f>IF(OR(E61="",F61="",G61="",H61=""),"",E61*F61*G61*H61)</x:f>
      </x:c>
      <x:c r="J61" s="12" t="str">
        <x:f>IF(OR(E61="",F61="",G61="",H61=""),"",2*(E61*G61+E61*F61+F61*G61)*H61)</x:f>
      </x:c>
      <x:c r="K61" s="12"/>
      <x:c r="L61" s="12" t="str">
        <x:f>IF(OR(I61="",K61=""),"",I61*K61)</x:f>
      </x:c>
      <x:c r="M61" s="12"/>
      <x:c r="N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 t="str">
        <x:f>IF(OR(E62="",F62="",G62="",H62=""),"",E62*F62*G62*H62)</x:f>
      </x:c>
      <x:c r="J62" s="12" t="str">
        <x:f>IF(OR(E62="",F62="",G62="",H62=""),"",2*(E62*G62+E62*F62+F62*G62)*H62)</x:f>
      </x:c>
      <x:c r="K62" s="12"/>
      <x:c r="L62" s="12" t="str">
        <x:f>IF(OR(I62="",K62=""),"",I62*K62)</x:f>
      </x:c>
      <x:c r="M62" s="12"/>
      <x:c r="N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 t="str">
        <x:f>IF(OR(E63="",F63="",G63="",H63=""),"",E63*F63*G63*H63)</x:f>
      </x:c>
      <x:c r="J63" s="12" t="str">
        <x:f>IF(OR(E63="",F63="",G63="",H63=""),"",2*(E63*G63+E63*F63+F63*G63)*H63)</x:f>
      </x:c>
      <x:c r="K63" s="12"/>
      <x:c r="L63" s="12" t="str">
        <x:f>IF(OR(I63="",K63=""),"",I63*K63)</x:f>
      </x:c>
      <x:c r="M63" s="12"/>
      <x:c r="N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 t="str">
        <x:f>IF(OR(E64="",F64="",G64="",H64=""),"",E64*F64*G64*H64)</x:f>
      </x:c>
      <x:c r="J64" s="12" t="str">
        <x:f>IF(OR(E64="",F64="",G64="",H64=""),"",2*(E64*G64+E64*F64+F64*G64)*H64)</x:f>
      </x:c>
      <x:c r="K64" s="12"/>
      <x:c r="L64" s="12" t="str">
        <x:f>IF(OR(I64="",K64=""),"",I64*K64)</x:f>
      </x:c>
      <x:c r="M64" s="12"/>
      <x:c r="N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 t="str">
        <x:f>IF(OR(E65="",F65="",G65="",H65=""),"",E65*F65*G65*H65)</x:f>
      </x:c>
      <x:c r="J65" s="12" t="str">
        <x:f>IF(OR(E65="",F65="",G65="",H65=""),"",2*(E65*G65+E65*F65+F65*G65)*H65)</x:f>
      </x:c>
      <x:c r="K65" s="12"/>
      <x:c r="L65" s="12" t="str">
        <x:f>IF(OR(I65="",K65=""),"",I65*K65)</x:f>
      </x:c>
      <x:c r="M65" s="12"/>
      <x:c r="N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 t="str">
        <x:f>IF(OR(E66="",F66="",G66="",H66=""),"",E66*F66*G66*H66)</x:f>
      </x:c>
      <x:c r="J66" s="12" t="str">
        <x:f>IF(OR(E66="",F66="",G66="",H66=""),"",2*(E66*G66+E66*F66+F66*G66)*H66)</x:f>
      </x:c>
      <x:c r="K66" s="12"/>
      <x:c r="L66" s="12" t="str">
        <x:f>IF(OR(I66="",K66=""),"",I66*K66)</x:f>
      </x:c>
      <x:c r="M66" s="12"/>
      <x:c r="N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 t="str">
        <x:f>IF(OR(E67="",F67="",G67="",H67=""),"",E67*F67*G67*H67)</x:f>
      </x:c>
      <x:c r="J67" s="12" t="str">
        <x:f>IF(OR(E67="",F67="",G67="",H67=""),"",2*(E67*G67+E67*F67+F67*G67)*H67)</x:f>
      </x:c>
      <x:c r="K67" s="12"/>
      <x:c r="L67" s="12" t="str">
        <x:f>IF(OR(I67="",K67=""),"",I67*K67)</x:f>
      </x:c>
      <x:c r="M67" s="12"/>
      <x:c r="N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 t="str">
        <x:f>IF(OR(E68="",F68="",G68="",H68=""),"",E68*F68*G68*H68)</x:f>
      </x:c>
      <x:c r="J68" s="12" t="str">
        <x:f>IF(OR(E68="",F68="",G68="",H68=""),"",2*(E68*G68+E68*F68+F68*G68)*H68)</x:f>
      </x:c>
      <x:c r="K68" s="12"/>
      <x:c r="L68" s="12" t="str">
        <x:f>IF(OR(I68="",K68=""),"",I68*K68)</x:f>
      </x:c>
      <x:c r="M68" s="12"/>
      <x:c r="N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 t="str">
        <x:f>IF(OR(E69="",F69="",G69="",H69=""),"",E69*F69*G69*H69)</x:f>
      </x:c>
      <x:c r="J69" s="12" t="str">
        <x:f>IF(OR(E69="",F69="",G69="",H69=""),"",2*(E69*G69+E69*F69+F69*G69)*H69)</x:f>
      </x:c>
      <x:c r="K69" s="12"/>
      <x:c r="L69" s="12" t="str">
        <x:f>IF(OR(I69="",K69=""),"",I69*K69)</x:f>
      </x:c>
      <x:c r="M69" s="12"/>
      <x:c r="N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 t="str">
        <x:f>IF(OR(E70="",F70="",G70="",H70=""),"",E70*F70*G70*H70)</x:f>
      </x:c>
      <x:c r="J70" s="12" t="str">
        <x:f>IF(OR(E70="",F70="",G70="",H70=""),"",2*(E70*G70+E70*F70+F70*G70)*H70)</x:f>
      </x:c>
      <x:c r="K70" s="12"/>
      <x:c r="L70" s="12" t="str">
        <x:f>IF(OR(I70="",K70=""),"",I70*K70)</x:f>
      </x:c>
      <x:c r="M70" s="12"/>
      <x:c r="N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 t="str">
        <x:f>IF(OR(E71="",F71="",G71="",H71=""),"",E71*F71*G71*H71)</x:f>
      </x:c>
      <x:c r="J71" s="12" t="str">
        <x:f>IF(OR(E71="",F71="",G71="",H71=""),"",2*(E71*G71+E71*F71+F71*G71)*H71)</x:f>
      </x:c>
      <x:c r="K71" s="12"/>
      <x:c r="L71" s="12" t="str">
        <x:f>IF(OR(I71="",K71=""),"",I71*K71)</x:f>
      </x:c>
      <x:c r="M71" s="12"/>
      <x:c r="N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 t="str">
        <x:f>IF(OR(E72="",F72="",G72="",H72=""),"",E72*F72*G72*H72)</x:f>
      </x:c>
      <x:c r="J72" s="12" t="str">
        <x:f>IF(OR(E72="",F72="",G72="",H72=""),"",2*(E72*G72+E72*F72+F72*G72)*H72)</x:f>
      </x:c>
      <x:c r="K72" s="12"/>
      <x:c r="L72" s="12" t="str">
        <x:f>IF(OR(I72="",K72=""),"",I72*K72)</x:f>
      </x:c>
      <x:c r="M72" s="12"/>
      <x:c r="N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 t="str">
        <x:f>IF(OR(E73="",F73="",G73="",H73=""),"",E73*F73*G73*H73)</x:f>
      </x:c>
      <x:c r="J73" s="12" t="str">
        <x:f>IF(OR(E73="",F73="",G73="",H73=""),"",2*(E73*G73+E73*F73+F73*G73)*H73)</x:f>
      </x:c>
      <x:c r="K73" s="12"/>
      <x:c r="L73" s="12" t="str">
        <x:f>IF(OR(I73="",K73=""),"",I73*K73)</x:f>
      </x:c>
      <x:c r="M73" s="12"/>
      <x:c r="N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 t="str">
        <x:f>IF(OR(E74="",F74="",G74="",H74=""),"",E74*F74*G74*H74)</x:f>
      </x:c>
      <x:c r="J74" s="12" t="str">
        <x:f>IF(OR(E74="",F74="",G74="",H74=""),"",2*(E74*G74+E74*F74+F74*G74)*H74)</x:f>
      </x:c>
      <x:c r="K74" s="12"/>
      <x:c r="L74" s="12" t="str">
        <x:f>IF(OR(I74="",K74=""),"",I74*K74)</x:f>
      </x:c>
      <x:c r="M74" s="12"/>
      <x:c r="N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 t="str">
        <x:f>IF(OR(E75="",F75="",G75="",H75=""),"",E75*F75*G75*H75)</x:f>
      </x:c>
      <x:c r="J75" s="12" t="str">
        <x:f>IF(OR(E75="",F75="",G75="",H75=""),"",2*(E75*G75+E75*F75+F75*G75)*H75)</x:f>
      </x:c>
      <x:c r="K75" s="12"/>
      <x:c r="L75" s="12" t="str">
        <x:f>IF(OR(I75="",K75=""),"",I75*K75)</x:f>
      </x:c>
      <x:c r="M75" s="12"/>
      <x:c r="N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 t="str">
        <x:f>IF(OR(E76="",F76="",G76="",H76=""),"",E76*F76*G76*H76)</x:f>
      </x:c>
      <x:c r="J76" s="12" t="str">
        <x:f>IF(OR(E76="",F76="",G76="",H76=""),"",2*(E76*G76+E76*F76+F76*G76)*H76)</x:f>
      </x:c>
      <x:c r="K76" s="12"/>
      <x:c r="L76" s="12" t="str">
        <x:f>IF(OR(I76="",K76=""),"",I76*K76)</x:f>
      </x:c>
      <x:c r="M76" s="12"/>
      <x:c r="N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 t="str">
        <x:f>IF(OR(E77="",F77="",G77="",H77=""),"",E77*F77*G77*H77)</x:f>
      </x:c>
      <x:c r="J77" s="12" t="str">
        <x:f>IF(OR(E77="",F77="",G77="",H77=""),"",2*(E77*G77+E77*F77+F77*G77)*H77)</x:f>
      </x:c>
      <x:c r="K77" s="12"/>
      <x:c r="L77" s="12" t="str">
        <x:f>IF(OR(I77="",K77=""),"",I77*K77)</x:f>
      </x:c>
      <x:c r="M77" s="12"/>
      <x:c r="N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 t="str">
        <x:f>IF(OR(E78="",F78="",G78="",H78=""),"",E78*F78*G78*H78)</x:f>
      </x:c>
      <x:c r="J78" s="12" t="str">
        <x:f>IF(OR(E78="",F78="",G78="",H78=""),"",2*(E78*G78+E78*F78+F78*G78)*H78)</x:f>
      </x:c>
      <x:c r="K78" s="12"/>
      <x:c r="L78" s="12" t="str">
        <x:f>IF(OR(I78="",K78=""),"",I78*K78)</x:f>
      </x:c>
      <x:c r="M78" s="12"/>
      <x:c r="N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 t="str">
        <x:f>IF(OR(E79="",F79="",G79="",H79=""),"",E79*F79*G79*H79)</x:f>
      </x:c>
      <x:c r="J79" s="12" t="str">
        <x:f>IF(OR(E79="",F79="",G79="",H79=""),"",2*(E79*G79+E79*F79+F79*G79)*H79)</x:f>
      </x:c>
      <x:c r="K79" s="12"/>
      <x:c r="L79" s="12" t="str">
        <x:f>IF(OR(I79="",K79=""),"",I79*K79)</x:f>
      </x:c>
      <x:c r="M79" s="12"/>
      <x:c r="N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 t="str">
        <x:f>IF(OR(E80="",F80="",G80="",H80=""),"",E80*F80*G80*H80)</x:f>
      </x:c>
      <x:c r="J80" s="12" t="str">
        <x:f>IF(OR(E80="",F80="",G80="",H80=""),"",2*(E80*G80+E80*F80+F80*G80)*H80)</x:f>
      </x:c>
      <x:c r="K80" s="12"/>
      <x:c r="L80" s="12" t="str">
        <x:f>IF(OR(I80="",K80=""),"",I80*K80)</x:f>
      </x:c>
      <x:c r="M80" s="12"/>
      <x:c r="N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 t="str">
        <x:f>IF(OR(E81="",F81="",G81="",H81=""),"",E81*F81*G81*H81)</x:f>
      </x:c>
      <x:c r="J81" s="12" t="str">
        <x:f>IF(OR(E81="",F81="",G81="",H81=""),"",2*(E81*G81+E81*F81+F81*G81)*H81)</x:f>
      </x:c>
      <x:c r="K81" s="12"/>
      <x:c r="L81" s="12" t="str">
        <x:f>IF(OR(I81="",K81=""),"",I81*K81)</x:f>
      </x:c>
      <x:c r="M81" s="12"/>
      <x:c r="N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 t="str">
        <x:f>IF(OR(E82="",F82="",G82="",H82=""),"",E82*F82*G82*H82)</x:f>
      </x:c>
      <x:c r="J82" s="12" t="str">
        <x:f>IF(OR(E82="",F82="",G82="",H82=""),"",2*(E82*G82+E82*F82+F82*G82)*H82)</x:f>
      </x:c>
      <x:c r="K82" s="12"/>
      <x:c r="L82" s="12" t="str">
        <x:f>IF(OR(I82="",K82=""),"",I82*K82)</x:f>
      </x:c>
      <x:c r="M82" s="12"/>
      <x:c r="N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 t="str">
        <x:f>IF(OR(E83="",F83="",G83="",H83=""),"",E83*F83*G83*H83)</x:f>
      </x:c>
      <x:c r="J83" s="12" t="str">
        <x:f>IF(OR(E83="",F83="",G83="",H83=""),"",2*(E83*G83+E83*F83+F83*G83)*H83)</x:f>
      </x:c>
      <x:c r="K83" s="12"/>
      <x:c r="L83" s="12" t="str">
        <x:f>IF(OR(I83="",K83=""),"",I83*K83)</x:f>
      </x:c>
      <x:c r="M83" s="12"/>
      <x:c r="N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 t="str">
        <x:f>IF(OR(E84="",F84="",G84="",H84=""),"",E84*F84*G84*H84)</x:f>
      </x:c>
      <x:c r="J84" s="12" t="str">
        <x:f>IF(OR(E84="",F84="",G84="",H84=""),"",2*(E84*G84+E84*F84+F84*G84)*H84)</x:f>
      </x:c>
      <x:c r="K84" s="12"/>
      <x:c r="L84" s="12" t="str">
        <x:f>IF(OR(I84="",K84=""),"",I84*K84)</x:f>
      </x:c>
      <x:c r="M84" s="12"/>
      <x:c r="N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 t="str">
        <x:f>IF(OR(E85="",F85="",G85="",H85=""),"",E85*F85*G85*H85)</x:f>
      </x:c>
      <x:c r="J85" s="12" t="str">
        <x:f>IF(OR(E85="",F85="",G85="",H85=""),"",2*(E85*G85+E85*F85+F85*G85)*H85)</x:f>
      </x:c>
      <x:c r="K85" s="12"/>
      <x:c r="L85" s="12" t="str">
        <x:f>IF(OR(I85="",K85=""),"",I85*K85)</x:f>
      </x:c>
      <x:c r="M85" s="12"/>
      <x:c r="N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 t="str">
        <x:f>IF(OR(E86="",F86="",G86="",H86=""),"",E86*F86*G86*H86)</x:f>
      </x:c>
      <x:c r="J86" s="12" t="str">
        <x:f>IF(OR(E86="",F86="",G86="",H86=""),"",2*(E86*G86+E86*F86+F86*G86)*H86)</x:f>
      </x:c>
      <x:c r="K86" s="12"/>
      <x:c r="L86" s="12" t="str">
        <x:f>IF(OR(I86="",K86=""),"",I86*K86)</x:f>
      </x:c>
      <x:c r="M86" s="12"/>
      <x:c r="N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 t="str">
        <x:f>IF(OR(E87="",F87="",G87="",H87=""),"",E87*F87*G87*H87)</x:f>
      </x:c>
      <x:c r="J87" s="12" t="str">
        <x:f>IF(OR(E87="",F87="",G87="",H87=""),"",2*(E87*G87+E87*F87+F87*G87)*H87)</x:f>
      </x:c>
      <x:c r="K87" s="12"/>
      <x:c r="L87" s="12" t="str">
        <x:f>IF(OR(I87="",K87=""),"",I87*K87)</x:f>
      </x:c>
      <x:c r="M87" s="12"/>
      <x:c r="N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 t="str">
        <x:f>IF(OR(E88="",F88="",G88="",H88=""),"",E88*F88*G88*H88)</x:f>
      </x:c>
      <x:c r="J88" s="12" t="str">
        <x:f>IF(OR(E88="",F88="",G88="",H88=""),"",2*(E88*G88+E88*F88+F88*G88)*H88)</x:f>
      </x:c>
      <x:c r="K88" s="12"/>
      <x:c r="L88" s="12" t="str">
        <x:f>IF(OR(I88="",K88=""),"",I88*K88)</x:f>
      </x:c>
      <x:c r="M88" s="12"/>
      <x:c r="N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 t="str">
        <x:f>IF(OR(E89="",F89="",G89="",H89=""),"",E89*F89*G89*H89)</x:f>
      </x:c>
      <x:c r="J89" s="12" t="str">
        <x:f>IF(OR(E89="",F89="",G89="",H89=""),"",2*(E89*G89+E89*F89+F89*G89)*H89)</x:f>
      </x:c>
      <x:c r="K89" s="12"/>
      <x:c r="L89" s="12" t="str">
        <x:f>IF(OR(I89="",K89=""),"",I89*K89)</x:f>
      </x:c>
      <x:c r="M89" s="12"/>
      <x:c r="N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 t="str">
        <x:f>IF(OR(E90="",F90="",G90="",H90=""),"",E90*F90*G90*H90)</x:f>
      </x:c>
      <x:c r="J90" s="12" t="str">
        <x:f>IF(OR(E90="",F90="",G90="",H90=""),"",2*(E90*G90+E90*F90+F90*G90)*H90)</x:f>
      </x:c>
      <x:c r="K90" s="12"/>
      <x:c r="L90" s="12" t="str">
        <x:f>IF(OR(I90="",K90=""),"",I90*K90)</x:f>
      </x:c>
      <x:c r="M90" s="12"/>
      <x:c r="N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 t="str">
        <x:f>IF(OR(E91="",F91="",G91="",H91=""),"",E91*F91*G91*H91)</x:f>
      </x:c>
      <x:c r="J91" s="12" t="str">
        <x:f>IF(OR(E91="",F91="",G91="",H91=""),"",2*(E91*G91+E91*F91+F91*G91)*H91)</x:f>
      </x:c>
      <x:c r="K91" s="12"/>
      <x:c r="L91" s="12" t="str">
        <x:f>IF(OR(I91="",K91=""),"",I91*K91)</x:f>
      </x:c>
      <x:c r="M91" s="12"/>
      <x:c r="N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 t="str">
        <x:f>IF(OR(E92="",F92="",G92="",H92=""),"",E92*F92*G92*H92)</x:f>
      </x:c>
      <x:c r="J92" s="12" t="str">
        <x:f>IF(OR(E92="",F92="",G92="",H92=""),"",2*(E92*G92+E92*F92+F92*G92)*H92)</x:f>
      </x:c>
      <x:c r="K92" s="12"/>
      <x:c r="L92" s="12" t="str">
        <x:f>IF(OR(I92="",K92=""),"",I92*K92)</x:f>
      </x:c>
      <x:c r="M92" s="12"/>
      <x:c r="N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 t="str">
        <x:f>IF(OR(E93="",F93="",G93="",H93=""),"",E93*F93*G93*H93)</x:f>
      </x:c>
      <x:c r="J93" s="12" t="str">
        <x:f>IF(OR(E93="",F93="",G93="",H93=""),"",2*(E93*G93+E93*F93+F93*G93)*H93)</x:f>
      </x:c>
      <x:c r="K93" s="12"/>
      <x:c r="L93" s="12" t="str">
        <x:f>IF(OR(I93="",K93=""),"",I93*K93)</x:f>
      </x:c>
      <x:c r="M93" s="12"/>
      <x:c r="N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 t="str">
        <x:f>IF(OR(E94="",F94="",G94="",H94=""),"",E94*F94*G94*H94)</x:f>
      </x:c>
      <x:c r="J94" s="12" t="str">
        <x:f>IF(OR(E94="",F94="",G94="",H94=""),"",2*(E94*G94+E94*F94+F94*G94)*H94)</x:f>
      </x:c>
      <x:c r="K94" s="12"/>
      <x:c r="L94" s="12" t="str">
        <x:f>IF(OR(I94="",K94=""),"",I94*K94)</x:f>
      </x:c>
      <x:c r="M94" s="12"/>
      <x:c r="N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 t="str">
        <x:f>IF(OR(E95="",F95="",G95="",H95=""),"",E95*F95*G95*H95)</x:f>
      </x:c>
      <x:c r="J95" s="12" t="str">
        <x:f>IF(OR(E95="",F95="",G95="",H95=""),"",2*(E95*G95+E95*F95+F95*G95)*H95)</x:f>
      </x:c>
      <x:c r="K95" s="12"/>
      <x:c r="L95" s="12" t="str">
        <x:f>IF(OR(I95="",K95=""),"",I95*K95)</x:f>
      </x:c>
      <x:c r="M95" s="12"/>
      <x:c r="N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 t="str">
        <x:f>IF(OR(E96="",F96="",G96="",H96=""),"",E96*F96*G96*H96)</x:f>
      </x:c>
      <x:c r="J96" s="12" t="str">
        <x:f>IF(OR(E96="",F96="",G96="",H96=""),"",2*(E96*G96+E96*F96+F96*G96)*H96)</x:f>
      </x:c>
      <x:c r="K96" s="12"/>
      <x:c r="L96" s="12" t="str">
        <x:f>IF(OR(I96="",K96=""),"",I96*K96)</x:f>
      </x:c>
      <x:c r="M96" s="12"/>
      <x:c r="N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 t="str">
        <x:f>IF(OR(E97="",F97="",G97="",H97=""),"",E97*F97*G97*H97)</x:f>
      </x:c>
      <x:c r="J97" s="12" t="str">
        <x:f>IF(OR(E97="",F97="",G97="",H97=""),"",2*(E97*G97+E97*F97+F97*G97)*H97)</x:f>
      </x:c>
      <x:c r="K97" s="12"/>
      <x:c r="L97" s="12" t="str">
        <x:f>IF(OR(I97="",K97=""),"",I97*K97)</x:f>
      </x:c>
      <x:c r="M97" s="12"/>
      <x:c r="N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 t="str">
        <x:f>IF(OR(E98="",F98="",G98="",H98=""),"",E98*F98*G98*H98)</x:f>
      </x:c>
      <x:c r="J98" s="12" t="str">
        <x:f>IF(OR(E98="",F98="",G98="",H98=""),"",2*(E98*G98+E98*F98+F98*G98)*H98)</x:f>
      </x:c>
      <x:c r="K98" s="12"/>
      <x:c r="L98" s="12" t="str">
        <x:f>IF(OR(I98="",K98=""),"",I98*K98)</x:f>
      </x:c>
      <x:c r="M98" s="12"/>
      <x:c r="N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 t="str">
        <x:f>IF(OR(E99="",F99="",G99="",H99=""),"",E99*F99*G99*H99)</x:f>
      </x:c>
      <x:c r="J99" s="12" t="str">
        <x:f>IF(OR(E99="",F99="",G99="",H99=""),"",2*(E99*G99+E99*F99+F99*G99)*H99)</x:f>
      </x:c>
      <x:c r="K99" s="12"/>
      <x:c r="L99" s="12" t="str">
        <x:f>IF(OR(I99="",K99=""),"",I99*K99)</x:f>
      </x:c>
      <x:c r="M99" s="12"/>
      <x:c r="N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 t="str">
        <x:f>IF(OR(E100="",F100="",G100="",H100=""),"",E100*F100*G100*H100)</x:f>
      </x:c>
      <x:c r="J100" s="12" t="str">
        <x:f>IF(OR(E100="",F100="",G100="",H100=""),"",2*(E100*G100+E100*F100+F100*G100)*H100)</x:f>
      </x:c>
      <x:c r="K100" s="12"/>
      <x:c r="L100" s="12" t="str">
        <x:f>IF(OR(I100="",K100=""),"",I100*K100)</x:f>
      </x:c>
      <x:c r="M100" s="12"/>
      <x:c r="N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 t="str">
        <x:f>IF(OR(E101="",F101="",G101="",H101=""),"",E101*F101*G101*H101)</x:f>
      </x:c>
      <x:c r="J101" s="12" t="str">
        <x:f>IF(OR(E101="",F101="",G101="",H101=""),"",2*(E101*G101+E101*F101+F101*G101)*H101)</x:f>
      </x:c>
      <x:c r="K101" s="12"/>
      <x:c r="L101" s="12" t="str">
        <x:f>IF(OR(I101="",K101=""),"",I101*K101)</x:f>
      </x:c>
      <x:c r="M101" s="12"/>
      <x:c r="N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 t="str">
        <x:f>IF(OR(E102="",F102="",G102="",H102=""),"",E102*F102*G102*H102)</x:f>
      </x:c>
      <x:c r="J102" s="12" t="str">
        <x:f>IF(OR(E102="",F102="",G102="",H102=""),"",2*(E102*G102+E102*F102+F102*G102)*H102)</x:f>
      </x:c>
      <x:c r="K102" s="12"/>
      <x:c r="L102" s="12" t="str">
        <x:f>IF(OR(I102="",K102=""),"",I102*K102)</x:f>
      </x:c>
      <x:c r="M102" s="12"/>
      <x:c r="N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 t="str">
        <x:f>IF(OR(E103="",F103="",G103="",H103=""),"",E103*F103*G103*H103)</x:f>
      </x:c>
      <x:c r="J103" s="12" t="str">
        <x:f>IF(OR(E103="",F103="",G103="",H103=""),"",2*(E103*G103+E103*F103+F103*G103)*H103)</x:f>
      </x:c>
      <x:c r="K103" s="12"/>
      <x:c r="L103" s="12" t="str">
        <x:f>IF(OR(I103="",K103=""),"",I103*K103)</x:f>
      </x:c>
      <x:c r="M103" s="12"/>
      <x:c r="N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 t="str">
        <x:f>IF(OR(E104="",F104="",G104="",H104=""),"",E104*F104*G104*H104)</x:f>
      </x:c>
      <x:c r="J104" s="12" t="str">
        <x:f>IF(OR(E104="",F104="",G104="",H104=""),"",2*(E104*G104+E104*F104+F104*G104)*H104)</x:f>
      </x:c>
      <x:c r="K104" s="12"/>
      <x:c r="L104" s="12" t="str">
        <x:f>IF(OR(I104="",K104=""),"",I104*K104)</x:f>
      </x:c>
      <x:c r="M104" s="12"/>
      <x:c r="N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 t="str">
        <x:f>IF(OR(E105="",F105="",G105="",H105=""),"",E105*F105*G105*H105)</x:f>
      </x:c>
      <x:c r="J105" s="12" t="str">
        <x:f>IF(OR(E105="",F105="",G105="",H105=""),"",2*(E105*G105+E105*F105+F105*G105)*H105)</x:f>
      </x:c>
      <x:c r="K105" s="12"/>
      <x:c r="L105" s="12" t="str">
        <x:f>IF(OR(I105="",K105=""),"",I105*K105)</x:f>
      </x:c>
      <x:c r="M105" s="12"/>
      <x:c r="N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 t="str">
        <x:f>IF(OR(E106="",F106="",G106="",H106=""),"",E106*F106*G106*H106)</x:f>
      </x:c>
      <x:c r="J106" s="12" t="str">
        <x:f>IF(OR(E106="",F106="",G106="",H106=""),"",2*(E106*G106+E106*F106+F106*G106)*H106)</x:f>
      </x:c>
      <x:c r="K106" s="12"/>
      <x:c r="L106" s="12" t="str">
        <x:f>IF(OR(I106="",K106=""),"",I106*K106)</x:f>
      </x:c>
      <x:c r="M106" s="12"/>
      <x:c r="N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 t="str">
        <x:f>IF(OR(E107="",F107="",G107="",H107=""),"",E107*F107*G107*H107)</x:f>
      </x:c>
      <x:c r="J107" s="12" t="str">
        <x:f>IF(OR(E107="",F107="",G107="",H107=""),"",2*(E107*G107+E107*F107+F107*G107)*H107)</x:f>
      </x:c>
      <x:c r="K107" s="12"/>
      <x:c r="L107" s="12" t="str">
        <x:f>IF(OR(I107="",K107=""),"",I107*K107)</x:f>
      </x:c>
      <x:c r="M107" s="12"/>
      <x:c r="N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 t="str">
        <x:f>IF(OR(E108="",F108="",G108="",H108=""),"",E108*F108*G108*H108)</x:f>
      </x:c>
      <x:c r="J108" s="12" t="str">
        <x:f>IF(OR(E108="",F108="",G108="",H108=""),"",2*(E108*G108+E108*F108+F108*G108)*H108)</x:f>
      </x:c>
      <x:c r="K108" s="12"/>
      <x:c r="L108" s="12" t="str">
        <x:f>IF(OR(I108="",K108=""),"",I108*K108)</x:f>
      </x:c>
      <x:c r="M108" s="12"/>
      <x:c r="N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 t="str">
        <x:f>IF(OR(E109="",F109="",G109="",H109=""),"",E109*F109*G109*H109)</x:f>
      </x:c>
      <x:c r="J109" s="12" t="str">
        <x:f>IF(OR(E109="",F109="",G109="",H109=""),"",2*(E109*G109+E109*F109+F109*G109)*H109)</x:f>
      </x:c>
      <x:c r="K109" s="12"/>
      <x:c r="L109" s="12" t="str">
        <x:f>IF(OR(I109="",K109=""),"",I109*K109)</x:f>
      </x:c>
      <x:c r="M109" s="12"/>
      <x:c r="N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 t="str">
        <x:f>IF(OR(E110="",F110="",G110="",H110=""),"",E110*F110*G110*H110)</x:f>
      </x:c>
      <x:c r="J110" s="12" t="str">
        <x:f>IF(OR(E110="",F110="",G110="",H110=""),"",2*(E110*G110+E110*F110+F110*G110)*H110)</x:f>
      </x:c>
      <x:c r="K110" s="12"/>
      <x:c r="L110" s="12" t="str">
        <x:f>IF(OR(I110="",K110=""),"",I110*K110)</x:f>
      </x:c>
      <x:c r="M110" s="12"/>
      <x:c r="N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 t="str">
        <x:f>IF(OR(E111="",F111="",G111="",H111=""),"",E111*F111*G111*H111)</x:f>
      </x:c>
      <x:c r="J111" s="12" t="str">
        <x:f>IF(OR(E111="",F111="",G111="",H111=""),"",2*(E111*G111+E111*F111+F111*G111)*H111)</x:f>
      </x:c>
      <x:c r="K111" s="12"/>
      <x:c r="L111" s="12" t="str">
        <x:f>IF(OR(I111="",K111=""),"",I111*K111)</x:f>
      </x:c>
      <x:c r="M111" s="12"/>
      <x:c r="N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 t="str">
        <x:f>IF(OR(E112="",F112="",G112="",H112=""),"",E112*F112*G112*H112)</x:f>
      </x:c>
      <x:c r="J112" s="12" t="str">
        <x:f>IF(OR(E112="",F112="",G112="",H112=""),"",2*(E112*G112+E112*F112+F112*G112)*H112)</x:f>
      </x:c>
      <x:c r="K112" s="12"/>
      <x:c r="L112" s="12" t="str">
        <x:f>IF(OR(I112="",K112=""),"",I112*K112)</x:f>
      </x:c>
      <x:c r="M112" s="12"/>
      <x:c r="N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 t="str">
        <x:f>IF(OR(E113="",F113="",G113="",H113=""),"",E113*F113*G113*H113)</x:f>
      </x:c>
      <x:c r="J113" s="12" t="str">
        <x:f>IF(OR(E113="",F113="",G113="",H113=""),"",2*(E113*G113+E113*F113+F113*G113)*H113)</x:f>
      </x:c>
      <x:c r="K113" s="12"/>
      <x:c r="L113" s="12" t="str">
        <x:f>IF(OR(I113="",K113=""),"",I113*K113)</x:f>
      </x:c>
      <x:c r="M113" s="12"/>
      <x:c r="N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 t="str">
        <x:f>IF(OR(E114="",F114="",G114="",H114=""),"",E114*F114*G114*H114)</x:f>
      </x:c>
      <x:c r="J114" s="12" t="str">
        <x:f>IF(OR(E114="",F114="",G114="",H114=""),"",2*(E114*G114+E114*F114+F114*G114)*H114)</x:f>
      </x:c>
      <x:c r="K114" s="12"/>
      <x:c r="L114" s="12" t="str">
        <x:f>IF(OR(I114="",K114=""),"",I114*K114)</x:f>
      </x:c>
      <x:c r="M114" s="12"/>
      <x:c r="N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 t="str">
        <x:f>IF(OR(E115="",F115="",G115="",H115=""),"",E115*F115*G115*H115)</x:f>
      </x:c>
      <x:c r="J115" s="12" t="str">
        <x:f>IF(OR(E115="",F115="",G115="",H115=""),"",2*(E115*G115+E115*F115+F115*G115)*H115)</x:f>
      </x:c>
      <x:c r="K115" s="12"/>
      <x:c r="L115" s="12" t="str">
        <x:f>IF(OR(I115="",K115=""),"",I115*K115)</x:f>
      </x:c>
      <x:c r="M115" s="12"/>
      <x:c r="N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 t="str">
        <x:f>IF(OR(E116="",F116="",G116="",H116=""),"",E116*F116*G116*H116)</x:f>
      </x:c>
      <x:c r="J116" s="12" t="str">
        <x:f>IF(OR(E116="",F116="",G116="",H116=""),"",2*(E116*G116+E116*F116+F116*G116)*H116)</x:f>
      </x:c>
      <x:c r="K116" s="12"/>
      <x:c r="L116" s="12" t="str">
        <x:f>IF(OR(I116="",K116=""),"",I116*K116)</x:f>
      </x:c>
      <x:c r="M116" s="12"/>
      <x:c r="N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 t="str">
        <x:f>IF(OR(E117="",F117="",G117="",H117=""),"",E117*F117*G117*H117)</x:f>
      </x:c>
      <x:c r="J117" s="12" t="str">
        <x:f>IF(OR(E117="",F117="",G117="",H117=""),"",2*(E117*G117+E117*F117+F117*G117)*H117)</x:f>
      </x:c>
      <x:c r="K117" s="12"/>
      <x:c r="L117" s="12" t="str">
        <x:f>IF(OR(I117="",K117=""),"",I117*K117)</x:f>
      </x:c>
      <x:c r="M117" s="12"/>
      <x:c r="N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 t="str">
        <x:f>IF(OR(E118="",F118="",G118="",H118=""),"",E118*F118*G118*H118)</x:f>
      </x:c>
      <x:c r="J118" s="12" t="str">
        <x:f>IF(OR(E118="",F118="",G118="",H118=""),"",2*(E118*G118+E118*F118+F118*G118)*H118)</x:f>
      </x:c>
      <x:c r="K118" s="12"/>
      <x:c r="L118" s="12" t="str">
        <x:f>IF(OR(I118="",K118=""),"",I118*K118)</x:f>
      </x:c>
      <x:c r="M118" s="12"/>
      <x:c r="N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 t="str">
        <x:f>IF(OR(E119="",F119="",G119="",H119=""),"",E119*F119*G119*H119)</x:f>
      </x:c>
      <x:c r="J119" s="12" t="str">
        <x:f>IF(OR(E119="",F119="",G119="",H119=""),"",2*(E119*G119+E119*F119+F119*G119)*H119)</x:f>
      </x:c>
      <x:c r="K119" s="12"/>
      <x:c r="L119" s="12" t="str">
        <x:f>IF(OR(I119="",K119=""),"",I119*K119)</x:f>
      </x:c>
      <x:c r="M119" s="12"/>
      <x:c r="N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 t="str">
        <x:f>IF(OR(E120="",F120="",G120="",H120=""),"",E120*F120*G120*H120)</x:f>
      </x:c>
      <x:c r="J120" s="12" t="str">
        <x:f>IF(OR(E120="",F120="",G120="",H120=""),"",2*(E120*G120+E120*F120+F120*G120)*H120)</x:f>
      </x:c>
      <x:c r="K120" s="12"/>
      <x:c r="L120" s="12" t="str">
        <x:f>IF(OR(I120="",K120=""),"",I120*K120)</x:f>
      </x:c>
      <x:c r="M120" s="12"/>
      <x:c r="N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 t="str">
        <x:f>IF(OR(E121="",F121="",G121="",H121=""),"",E121*F121*G121*H121)</x:f>
      </x:c>
      <x:c r="J121" s="12" t="str">
        <x:f>IF(OR(E121="",F121="",G121="",H121=""),"",2*(E121*G121+E121*F121+F121*G121)*H121)</x:f>
      </x:c>
      <x:c r="K121" s="12"/>
      <x:c r="L121" s="12" t="str">
        <x:f>IF(OR(I121="",K121=""),"",I121*K121)</x:f>
      </x:c>
      <x:c r="M121" s="12"/>
      <x:c r="N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 t="str">
        <x:f>IF(OR(E122="",F122="",G122="",H122=""),"",E122*F122*G122*H122)</x:f>
      </x:c>
      <x:c r="J122" s="12" t="str">
        <x:f>IF(OR(E122="",F122="",G122="",H122=""),"",2*(E122*G122+E122*F122+F122*G122)*H122)</x:f>
      </x:c>
      <x:c r="K122" s="12"/>
      <x:c r="L122" s="12" t="str">
        <x:f>IF(OR(I122="",K122=""),"",I122*K122)</x:f>
      </x:c>
      <x:c r="M122" s="12"/>
      <x:c r="N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 t="str">
        <x:f>IF(OR(E123="",F123="",G123="",H123=""),"",E123*F123*G123*H123)</x:f>
      </x:c>
      <x:c r="J123" s="12" t="str">
        <x:f>IF(OR(E123="",F123="",G123="",H123=""),"",2*(E123*G123+E123*F123+F123*G123)*H123)</x:f>
      </x:c>
      <x:c r="K123" s="12"/>
      <x:c r="L123" s="12" t="str">
        <x:f>IF(OR(I123="",K123=""),"",I123*K123)</x:f>
      </x:c>
      <x:c r="M123" s="12"/>
      <x:c r="N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 t="str">
        <x:f>IF(OR(E124="",F124="",G124="",H124=""),"",E124*F124*G124*H124)</x:f>
      </x:c>
      <x:c r="J124" s="12" t="str">
        <x:f>IF(OR(E124="",F124="",G124="",H124=""),"",2*(E124*G124+E124*F124+F124*G124)*H124)</x:f>
      </x:c>
      <x:c r="K124" s="12"/>
      <x:c r="L124" s="12" t="str">
        <x:f>IF(OR(I124="",K124=""),"",I124*K124)</x:f>
      </x:c>
      <x:c r="M124" s="12"/>
      <x:c r="N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 t="str">
        <x:f>IF(OR(E125="",F125="",G125="",H125=""),"",E125*F125*G125*H125)</x:f>
      </x:c>
      <x:c r="J125" s="12" t="str">
        <x:f>IF(OR(E125="",F125="",G125="",H125=""),"",2*(E125*G125+E125*F125+F125*G125)*H125)</x:f>
      </x:c>
      <x:c r="K125" s="12"/>
      <x:c r="L125" s="12" t="str">
        <x:f>IF(OR(I125="",K125=""),"",I125*K125)</x:f>
      </x:c>
      <x:c r="M125" s="12"/>
      <x:c r="N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 t="str">
        <x:f>IF(OR(E126="",F126="",G126="",H126=""),"",E126*F126*G126*H126)</x:f>
      </x:c>
      <x:c r="J126" s="12" t="str">
        <x:f>IF(OR(E126="",F126="",G126="",H126=""),"",2*(E126*G126+E126*F126+F126*G126)*H126)</x:f>
      </x:c>
      <x:c r="K126" s="12"/>
      <x:c r="L126" s="12" t="str">
        <x:f>IF(OR(I126="",K126=""),"",I126*K126)</x:f>
      </x:c>
      <x:c r="M126" s="12"/>
      <x:c r="N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 t="str">
        <x:f>IF(OR(E127="",F127="",G127="",H127=""),"",E127*F127*G127*H127)</x:f>
      </x:c>
      <x:c r="J127" s="12" t="str">
        <x:f>IF(OR(E127="",F127="",G127="",H127=""),"",2*(E127*G127+E127*F127+F127*G127)*H127)</x:f>
      </x:c>
      <x:c r="K127" s="12"/>
      <x:c r="L127" s="12" t="str">
        <x:f>IF(OR(I127="",K127=""),"",I127*K127)</x:f>
      </x:c>
      <x:c r="M127" s="12"/>
      <x:c r="N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 t="str">
        <x:f>IF(OR(E128="",F128="",G128="",H128=""),"",E128*F128*G128*H128)</x:f>
      </x:c>
      <x:c r="J128" s="12" t="str">
        <x:f>IF(OR(E128="",F128="",G128="",H128=""),"",2*(E128*G128+E128*F128+F128*G128)*H128)</x:f>
      </x:c>
      <x:c r="K128" s="12"/>
      <x:c r="L128" s="12" t="str">
        <x:f>IF(OR(I128="",K128=""),"",I128*K128)</x:f>
      </x:c>
      <x:c r="M128" s="12"/>
      <x:c r="N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 t="str">
        <x:f>IF(OR(E129="",F129="",G129="",H129=""),"",E129*F129*G129*H129)</x:f>
      </x:c>
      <x:c r="J129" s="12" t="str">
        <x:f>IF(OR(E129="",F129="",G129="",H129=""),"",2*(E129*G129+E129*F129+F129*G129)*H129)</x:f>
      </x:c>
      <x:c r="K129" s="12"/>
      <x:c r="L129" s="12" t="str">
        <x:f>IF(OR(I129="",K129=""),"",I129*K129)</x:f>
      </x:c>
      <x:c r="M129" s="12"/>
      <x:c r="N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 t="str">
        <x:f>IF(OR(E130="",F130="",G130="",H130=""),"",E130*F130*G130*H130)</x:f>
      </x:c>
      <x:c r="J130" s="12" t="str">
        <x:f>IF(OR(E130="",F130="",G130="",H130=""),"",2*(E130*G130+E130*F130+F130*G130)*H130)</x:f>
      </x:c>
      <x:c r="K130" s="12"/>
      <x:c r="L130" s="12" t="str">
        <x:f>IF(OR(I130="",K130=""),"",I130*K130)</x:f>
      </x:c>
      <x:c r="M130" s="12"/>
      <x:c r="N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 t="str">
        <x:f>IF(OR(E131="",F131="",G131="",H131=""),"",E131*F131*G131*H131)</x:f>
      </x:c>
      <x:c r="J131" s="12" t="str">
        <x:f>IF(OR(E131="",F131="",G131="",H131=""),"",2*(E131*G131+E131*F131+F131*G131)*H131)</x:f>
      </x:c>
      <x:c r="K131" s="12"/>
      <x:c r="L131" s="12" t="str">
        <x:f>IF(OR(I131="",K131=""),"",I131*K131)</x:f>
      </x:c>
      <x:c r="M131" s="12"/>
      <x:c r="N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 t="str">
        <x:f>IF(OR(E132="",F132="",G132="",H132=""),"",E132*F132*G132*H132)</x:f>
      </x:c>
      <x:c r="J132" s="12" t="str">
        <x:f>IF(OR(E132="",F132="",G132="",H132=""),"",2*(E132*G132+E132*F132+F132*G132)*H132)</x:f>
      </x:c>
      <x:c r="K132" s="12"/>
      <x:c r="L132" s="12" t="str">
        <x:f>IF(OR(I132="",K132=""),"",I132*K132)</x:f>
      </x:c>
      <x:c r="M132" s="12"/>
      <x:c r="N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 t="str">
        <x:f>IF(OR(E133="",F133="",G133="",H133=""),"",E133*F133*G133*H133)</x:f>
      </x:c>
      <x:c r="J133" s="12" t="str">
        <x:f>IF(OR(E133="",F133="",G133="",H133=""),"",2*(E133*G133+E133*F133+F133*G133)*H133)</x:f>
      </x:c>
      <x:c r="K133" s="12"/>
      <x:c r="L133" s="12" t="str">
        <x:f>IF(OR(I133="",K133=""),"",I133*K133)</x:f>
      </x:c>
      <x:c r="M133" s="12"/>
      <x:c r="N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 t="str">
        <x:f>IF(OR(E134="",F134="",G134="",H134=""),"",E134*F134*G134*H134)</x:f>
      </x:c>
      <x:c r="J134" s="12" t="str">
        <x:f>IF(OR(E134="",F134="",G134="",H134=""),"",2*(E134*G134+E134*F134+F134*G134)*H134)</x:f>
      </x:c>
      <x:c r="K134" s="12"/>
      <x:c r="L134" s="12" t="str">
        <x:f>IF(OR(I134="",K134=""),"",I134*K134)</x:f>
      </x:c>
      <x:c r="M134" s="12"/>
      <x:c r="N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 t="str">
        <x:f>IF(OR(E135="",F135="",G135="",H135=""),"",E135*F135*G135*H135)</x:f>
      </x:c>
      <x:c r="J135" s="12" t="str">
        <x:f>IF(OR(E135="",F135="",G135="",H135=""),"",2*(E135*G135+E135*F135+F135*G135)*H135)</x:f>
      </x:c>
      <x:c r="K135" s="12"/>
      <x:c r="L135" s="12" t="str">
        <x:f>IF(OR(I135="",K135=""),"",I135*K135)</x:f>
      </x:c>
      <x:c r="M135" s="12"/>
      <x:c r="N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 t="str">
        <x:f>IF(OR(E136="",F136="",G136="",H136=""),"",E136*F136*G136*H136)</x:f>
      </x:c>
      <x:c r="J136" s="12" t="str">
        <x:f>IF(OR(E136="",F136="",G136="",H136=""),"",2*(E136*G136+E136*F136+F136*G136)*H136)</x:f>
      </x:c>
      <x:c r="K136" s="12"/>
      <x:c r="L136" s="12" t="str">
        <x:f>IF(OR(I136="",K136=""),"",I136*K136)</x:f>
      </x:c>
      <x:c r="M136" s="12"/>
      <x:c r="N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 t="str">
        <x:f>IF(OR(E137="",F137="",G137="",H137=""),"",E137*F137*G137*H137)</x:f>
      </x:c>
      <x:c r="J137" s="12" t="str">
        <x:f>IF(OR(E137="",F137="",G137="",H137=""),"",2*(E137*G137+E137*F137+F137*G137)*H137)</x:f>
      </x:c>
      <x:c r="K137" s="12"/>
      <x:c r="L137" s="12" t="str">
        <x:f>IF(OR(I137="",K137=""),"",I137*K137)</x:f>
      </x:c>
      <x:c r="M137" s="12"/>
      <x:c r="N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 t="str">
        <x:f>IF(OR(E138="",F138="",G138="",H138=""),"",E138*F138*G138*H138)</x:f>
      </x:c>
      <x:c r="J138" s="12" t="str">
        <x:f>IF(OR(E138="",F138="",G138="",H138=""),"",2*(E138*G138+E138*F138+F138*G138)*H138)</x:f>
      </x:c>
      <x:c r="K138" s="12"/>
      <x:c r="L138" s="12" t="str">
        <x:f>IF(OR(I138="",K138=""),"",I138*K138)</x:f>
      </x:c>
      <x:c r="M138" s="12"/>
      <x:c r="N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 t="str">
        <x:f>IF(OR(E139="",F139="",G139="",H139=""),"",E139*F139*G139*H139)</x:f>
      </x:c>
      <x:c r="J139" s="12" t="str">
        <x:f>IF(OR(E139="",F139="",G139="",H139=""),"",2*(E139*G139+E139*F139+F139*G139)*H139)</x:f>
      </x:c>
      <x:c r="K139" s="12"/>
      <x:c r="L139" s="12" t="str">
        <x:f>IF(OR(I139="",K139=""),"",I139*K139)</x:f>
      </x:c>
      <x:c r="M139" s="12"/>
      <x:c r="N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 t="str">
        <x:f>IF(OR(E140="",F140="",G140="",H140=""),"",E140*F140*G140*H140)</x:f>
      </x:c>
      <x:c r="J140" s="12" t="str">
        <x:f>IF(OR(E140="",F140="",G140="",H140=""),"",2*(E140*G140+E140*F140+F140*G140)*H140)</x:f>
      </x:c>
      <x:c r="K140" s="12"/>
      <x:c r="L140" s="12" t="str">
        <x:f>IF(OR(I140="",K140=""),"",I140*K140)</x:f>
      </x:c>
      <x:c r="M140" s="12"/>
      <x:c r="N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 t="str">
        <x:f>IF(OR(E141="",F141="",G141="",H141=""),"",E141*F141*G141*H141)</x:f>
      </x:c>
      <x:c r="J141" s="12" t="str">
        <x:f>IF(OR(E141="",F141="",G141="",H141=""),"",2*(E141*G141+E141*F141+F141*G141)*H141)</x:f>
      </x:c>
      <x:c r="K141" s="12"/>
      <x:c r="L141" s="12" t="str">
        <x:f>IF(OR(I141="",K141=""),"",I141*K141)</x:f>
      </x:c>
      <x:c r="M141" s="12"/>
      <x:c r="N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 t="str">
        <x:f>IF(OR(E142="",F142="",G142="",H142=""),"",E142*F142*G142*H142)</x:f>
      </x:c>
      <x:c r="J142" s="12" t="str">
        <x:f>IF(OR(E142="",F142="",G142="",H142=""),"",2*(E142*G142+E142*F142+F142*G142)*H142)</x:f>
      </x:c>
      <x:c r="K142" s="12"/>
      <x:c r="L142" s="12" t="str">
        <x:f>IF(OR(I142="",K142=""),"",I142*K142)</x:f>
      </x:c>
      <x:c r="M142" s="12"/>
      <x:c r="N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 t="str">
        <x:f>IF(OR(E143="",F143="",G143="",H143=""),"",E143*F143*G143*H143)</x:f>
      </x:c>
      <x:c r="J143" s="12" t="str">
        <x:f>IF(OR(E143="",F143="",G143="",H143=""),"",2*(E143*G143+E143*F143+F143*G143)*H143)</x:f>
      </x:c>
      <x:c r="K143" s="12"/>
      <x:c r="L143" s="12" t="str">
        <x:f>IF(OR(I143="",K143=""),"",I143*K143)</x:f>
      </x:c>
      <x:c r="M143" s="12"/>
      <x:c r="N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 t="str">
        <x:f>IF(OR(E144="",F144="",G144="",H144=""),"",E144*F144*G144*H144)</x:f>
      </x:c>
      <x:c r="J144" s="12" t="str">
        <x:f>IF(OR(E144="",F144="",G144="",H144=""),"",2*(E144*G144+E144*F144+F144*G144)*H144)</x:f>
      </x:c>
      <x:c r="K144" s="12"/>
      <x:c r="L144" s="12" t="str">
        <x:f>IF(OR(I144="",K144=""),"",I144*K144)</x:f>
      </x:c>
      <x:c r="M144" s="12"/>
      <x:c r="N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 t="str">
        <x:f>IF(OR(E145="",F145="",G145="",H145=""),"",E145*F145*G145*H145)</x:f>
      </x:c>
      <x:c r="J145" s="12" t="str">
        <x:f>IF(OR(E145="",F145="",G145="",H145=""),"",2*(E145*G145+E145*F145+F145*G145)*H145)</x:f>
      </x:c>
      <x:c r="K145" s="12"/>
      <x:c r="L145" s="12" t="str">
        <x:f>IF(OR(I145="",K145=""),"",I145*K145)</x:f>
      </x:c>
      <x:c r="M145" s="12"/>
      <x:c r="N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 t="str">
        <x:f>IF(OR(E146="",F146="",G146="",H146=""),"",E146*F146*G146*H146)</x:f>
      </x:c>
      <x:c r="J146" s="12" t="str">
        <x:f>IF(OR(E146="",F146="",G146="",H146=""),"",2*(E146*G146+E146*F146+F146*G146)*H146)</x:f>
      </x:c>
      <x:c r="K146" s="12"/>
      <x:c r="L146" s="12" t="str">
        <x:f>IF(OR(I146="",K146=""),"",I146*K146)</x:f>
      </x:c>
      <x:c r="M146" s="12"/>
      <x:c r="N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 t="str">
        <x:f>IF(OR(E147="",F147="",G147="",H147=""),"",E147*F147*G147*H147)</x:f>
      </x:c>
      <x:c r="J147" s="12" t="str">
        <x:f>IF(OR(E147="",F147="",G147="",H147=""),"",2*(E147*G147+E147*F147+F147*G147)*H147)</x:f>
      </x:c>
      <x:c r="K147" s="12"/>
      <x:c r="L147" s="12" t="str">
        <x:f>IF(OR(I147="",K147=""),"",I147*K147)</x:f>
      </x:c>
      <x:c r="M147" s="12"/>
      <x:c r="N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 t="str">
        <x:f>IF(OR(E148="",F148="",G148="",H148=""),"",E148*F148*G148*H148)</x:f>
      </x:c>
      <x:c r="J148" s="12" t="str">
        <x:f>IF(OR(E148="",F148="",G148="",H148=""),"",2*(E148*G148+E148*F148+F148*G148)*H148)</x:f>
      </x:c>
      <x:c r="K148" s="12"/>
      <x:c r="L148" s="12" t="str">
        <x:f>IF(OR(I148="",K148=""),"",I148*K148)</x:f>
      </x:c>
      <x:c r="M148" s="12"/>
      <x:c r="N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 t="str">
        <x:f>IF(OR(E149="",F149="",G149="",H149=""),"",E149*F149*G149*H149)</x:f>
      </x:c>
      <x:c r="J149" s="12" t="str">
        <x:f>IF(OR(E149="",F149="",G149="",H149=""),"",2*(E149*G149+E149*F149+F149*G149)*H149)</x:f>
      </x:c>
      <x:c r="K149" s="12"/>
      <x:c r="L149" s="12" t="str">
        <x:f>IF(OR(I149="",K149=""),"",I149*K149)</x:f>
      </x:c>
      <x:c r="M149" s="12"/>
      <x:c r="N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 t="str">
        <x:f>IF(OR(E150="",F150="",G150="",H150=""),"",E150*F150*G150*H150)</x:f>
      </x:c>
      <x:c r="J150" s="12" t="str">
        <x:f>IF(OR(E150="",F150="",G150="",H150=""),"",2*(E150*G150+E150*F150+F150*G150)*H150)</x:f>
      </x:c>
      <x:c r="K150" s="12"/>
      <x:c r="L150" s="12" t="str">
        <x:f>IF(OR(I150="",K150=""),"",I150*K150)</x:f>
      </x:c>
      <x:c r="M150" s="12"/>
      <x:c r="N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 t="str">
        <x:f>IF(OR(E151="",F151="",G151="",H151=""),"",E151*F151*G151*H151)</x:f>
      </x:c>
      <x:c r="J151" s="12" t="str">
        <x:f>IF(OR(E151="",F151="",G151="",H151=""),"",2*(E151*G151+E151*F151+F151*G151)*H151)</x:f>
      </x:c>
      <x:c r="K151" s="12"/>
      <x:c r="L151" s="12" t="str">
        <x:f>IF(OR(I151="",K151=""),"",I151*K151)</x:f>
      </x:c>
      <x:c r="M151" s="12"/>
      <x:c r="N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 t="str">
        <x:f>IF(OR(E152="",F152="",G152="",H152=""),"",E152*F152*G152*H152)</x:f>
      </x:c>
      <x:c r="J152" s="12" t="str">
        <x:f>IF(OR(E152="",F152="",G152="",H152=""),"",2*(E152*G152+E152*F152+F152*G152)*H152)</x:f>
      </x:c>
      <x:c r="K152" s="12"/>
      <x:c r="L152" s="12" t="str">
        <x:f>IF(OR(I152="",K152=""),"",I152*K152)</x:f>
      </x:c>
      <x:c r="M152" s="12"/>
      <x:c r="N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 t="str">
        <x:f>IF(OR(E153="",F153="",G153="",H153=""),"",E153*F153*G153*H153)</x:f>
      </x:c>
      <x:c r="J153" s="12" t="str">
        <x:f>IF(OR(E153="",F153="",G153="",H153=""),"",2*(E153*G153+E153*F153+F153*G153)*H153)</x:f>
      </x:c>
      <x:c r="K153" s="12"/>
      <x:c r="L153" s="12" t="str">
        <x:f>IF(OR(I153="",K153=""),"",I153*K153)</x:f>
      </x:c>
      <x:c r="M153" s="12"/>
      <x:c r="N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 t="str">
        <x:f>IF(OR(E154="",F154="",G154="",H154=""),"",E154*F154*G154*H154)</x:f>
      </x:c>
      <x:c r="J154" s="12" t="str">
        <x:f>IF(OR(E154="",F154="",G154="",H154=""),"",2*(E154*G154+E154*F154+F154*G154)*H154)</x:f>
      </x:c>
      <x:c r="K154" s="12"/>
      <x:c r="L154" s="12" t="str">
        <x:f>IF(OR(I154="",K154=""),"",I154*K154)</x:f>
      </x:c>
      <x:c r="M154" s="12"/>
      <x:c r="N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 t="str">
        <x:f>IF(OR(E155="",F155="",G155="",H155=""),"",E155*F155*G155*H155)</x:f>
      </x:c>
      <x:c r="J155" s="12" t="str">
        <x:f>IF(OR(E155="",F155="",G155="",H155=""),"",2*(E155*G155+E155*F155+F155*G155)*H155)</x:f>
      </x:c>
      <x:c r="K155" s="12"/>
      <x:c r="L155" s="12" t="str">
        <x:f>IF(OR(I155="",K155=""),"",I155*K155)</x:f>
      </x:c>
      <x:c r="M155" s="12"/>
      <x:c r="N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 t="str">
        <x:f>IF(OR(E156="",F156="",G156="",H156=""),"",E156*F156*G156*H156)</x:f>
      </x:c>
      <x:c r="J156" s="12" t="str">
        <x:f>IF(OR(E156="",F156="",G156="",H156=""),"",2*(E156*G156+E156*F156+F156*G156)*H156)</x:f>
      </x:c>
      <x:c r="K156" s="12"/>
      <x:c r="L156" s="12" t="str">
        <x:f>IF(OR(I156="",K156=""),"",I156*K156)</x:f>
      </x:c>
      <x:c r="M156" s="12"/>
      <x:c r="N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 t="str">
        <x:f>IF(OR(E157="",F157="",G157="",H157=""),"",E157*F157*G157*H157)</x:f>
      </x:c>
      <x:c r="J157" s="12" t="str">
        <x:f>IF(OR(E157="",F157="",G157="",H157=""),"",2*(E157*G157+E157*F157+F157*G157)*H157)</x:f>
      </x:c>
      <x:c r="K157" s="12"/>
      <x:c r="L157" s="12" t="str">
        <x:f>IF(OR(I157="",K157=""),"",I157*K157)</x:f>
      </x:c>
      <x:c r="M157" s="12"/>
      <x:c r="N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 t="str">
        <x:f>IF(OR(E158="",F158="",G158="",H158=""),"",E158*F158*G158*H158)</x:f>
      </x:c>
      <x:c r="J158" s="12" t="str">
        <x:f>IF(OR(E158="",F158="",G158="",H158=""),"",2*(E158*G158+E158*F158+F158*G158)*H158)</x:f>
      </x:c>
      <x:c r="K158" s="12"/>
      <x:c r="L158" s="12" t="str">
        <x:f>IF(OR(I158="",K158=""),"",I158*K158)</x:f>
      </x:c>
      <x:c r="M158" s="12"/>
      <x:c r="N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 t="str">
        <x:f>IF(OR(E159="",F159="",G159="",H159=""),"",E159*F159*G159*H159)</x:f>
      </x:c>
      <x:c r="J159" s="12" t="str">
        <x:f>IF(OR(E159="",F159="",G159="",H159=""),"",2*(E159*G159+E159*F159+F159*G159)*H159)</x:f>
      </x:c>
      <x:c r="K159" s="12"/>
      <x:c r="L159" s="12" t="str">
        <x:f>IF(OR(I159="",K159=""),"",I159*K159)</x:f>
      </x:c>
      <x:c r="M159" s="12"/>
      <x:c r="N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 t="str">
        <x:f>IF(OR(E160="",F160="",G160="",H160=""),"",E160*F160*G160*H160)</x:f>
      </x:c>
      <x:c r="J160" s="12" t="str">
        <x:f>IF(OR(E160="",F160="",G160="",H160=""),"",2*(E160*G160+E160*F160+F160*G160)*H160)</x:f>
      </x:c>
      <x:c r="K160" s="12"/>
      <x:c r="L160" s="12" t="str">
        <x:f>IF(OR(I160="",K160=""),"",I160*K160)</x:f>
      </x:c>
      <x:c r="M160" s="12"/>
      <x:c r="N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 t="str">
        <x:f>IF(OR(E161="",F161="",G161="",H161=""),"",E161*F161*G161*H161)</x:f>
      </x:c>
      <x:c r="J161" s="12" t="str">
        <x:f>IF(OR(E161="",F161="",G161="",H161=""),"",2*(E161*G161+E161*F161+F161*G161)*H161)</x:f>
      </x:c>
      <x:c r="K161" s="12"/>
      <x:c r="L161" s="12" t="str">
        <x:f>IF(OR(I161="",K161=""),"",I161*K161)</x:f>
      </x:c>
      <x:c r="M161" s="12"/>
      <x:c r="N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 t="str">
        <x:f>IF(OR(E162="",F162="",G162="",H162=""),"",E162*F162*G162*H162)</x:f>
      </x:c>
      <x:c r="J162" s="12" t="str">
        <x:f>IF(OR(E162="",F162="",G162="",H162=""),"",2*(E162*G162+E162*F162+F162*G162)*H162)</x:f>
      </x:c>
      <x:c r="K162" s="12"/>
      <x:c r="L162" s="12" t="str">
        <x:f>IF(OR(I162="",K162=""),"",I162*K162)</x:f>
      </x:c>
      <x:c r="M162" s="12"/>
      <x:c r="N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 t="str">
        <x:f>IF(OR(E163="",F163="",G163="",H163=""),"",E163*F163*G163*H163)</x:f>
      </x:c>
      <x:c r="J163" s="12" t="str">
        <x:f>IF(OR(E163="",F163="",G163="",H163=""),"",2*(E163*G163+E163*F163+F163*G163)*H163)</x:f>
      </x:c>
      <x:c r="K163" s="12"/>
      <x:c r="L163" s="12" t="str">
        <x:f>IF(OR(I163="",K163=""),"",I163*K163)</x:f>
      </x:c>
      <x:c r="M163" s="12"/>
      <x:c r="N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 t="str">
        <x:f>IF(OR(E164="",F164="",G164="",H164=""),"",E164*F164*G164*H164)</x:f>
      </x:c>
      <x:c r="J164" s="12" t="str">
        <x:f>IF(OR(E164="",F164="",G164="",H164=""),"",2*(E164*G164+E164*F164+F164*G164)*H164)</x:f>
      </x:c>
      <x:c r="K164" s="12"/>
      <x:c r="L164" s="12" t="str">
        <x:f>IF(OR(I164="",K164=""),"",I164*K164)</x:f>
      </x:c>
      <x:c r="M164" s="12"/>
      <x:c r="N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 t="str">
        <x:f>IF(OR(E165="",F165="",G165="",H165=""),"",E165*F165*G165*H165)</x:f>
      </x:c>
      <x:c r="J165" s="12" t="str">
        <x:f>IF(OR(E165="",F165="",G165="",H165=""),"",2*(E165*G165+E165*F165+F165*G165)*H165)</x:f>
      </x:c>
      <x:c r="K165" s="12"/>
      <x:c r="L165" s="12" t="str">
        <x:f>IF(OR(I165="",K165=""),"",I165*K165)</x:f>
      </x:c>
      <x:c r="M165" s="12"/>
      <x:c r="N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 t="str">
        <x:f>IF(OR(E166="",F166="",G166="",H166=""),"",E166*F166*G166*H166)</x:f>
      </x:c>
      <x:c r="J166" s="12" t="str">
        <x:f>IF(OR(E166="",F166="",G166="",H166=""),"",2*(E166*G166+E166*F166+F166*G166)*H166)</x:f>
      </x:c>
      <x:c r="K166" s="12"/>
      <x:c r="L166" s="12" t="str">
        <x:f>IF(OR(I166="",K166=""),"",I166*K166)</x:f>
      </x:c>
      <x:c r="M166" s="12"/>
      <x:c r="N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 t="str">
        <x:f>IF(OR(E167="",F167="",G167="",H167=""),"",E167*F167*G167*H167)</x:f>
      </x:c>
      <x:c r="J167" s="12" t="str">
        <x:f>IF(OR(E167="",F167="",G167="",H167=""),"",2*(E167*G167+E167*F167+F167*G167)*H167)</x:f>
      </x:c>
      <x:c r="K167" s="12"/>
      <x:c r="L167" s="12" t="str">
        <x:f>IF(OR(I167="",K167=""),"",I167*K167)</x:f>
      </x:c>
      <x:c r="M167" s="12"/>
      <x:c r="N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 t="str">
        <x:f>IF(OR(E168="",F168="",G168="",H168=""),"",E168*F168*G168*H168)</x:f>
      </x:c>
      <x:c r="J168" s="12" t="str">
        <x:f>IF(OR(E168="",F168="",G168="",H168=""),"",2*(E168*G168+E168*F168+F168*G168)*H168)</x:f>
      </x:c>
      <x:c r="K168" s="12"/>
      <x:c r="L168" s="12" t="str">
        <x:f>IF(OR(I168="",K168=""),"",I168*K168)</x:f>
      </x:c>
      <x:c r="M168" s="12"/>
      <x:c r="N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 t="str">
        <x:f>IF(OR(E169="",F169="",G169="",H169=""),"",E169*F169*G169*H169)</x:f>
      </x:c>
      <x:c r="J169" s="12" t="str">
        <x:f>IF(OR(E169="",F169="",G169="",H169=""),"",2*(E169*G169+E169*F169+F169*G169)*H169)</x:f>
      </x:c>
      <x:c r="K169" s="12"/>
      <x:c r="L169" s="12" t="str">
        <x:f>IF(OR(I169="",K169=""),"",I169*K169)</x:f>
      </x:c>
      <x:c r="M169" s="12"/>
      <x:c r="N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 t="str">
        <x:f>IF(OR(E170="",F170="",G170="",H170=""),"",E170*F170*G170*H170)</x:f>
      </x:c>
      <x:c r="J170" s="12" t="str">
        <x:f>IF(OR(E170="",F170="",G170="",H170=""),"",2*(E170*G170+E170*F170+F170*G170)*H170)</x:f>
      </x:c>
      <x:c r="K170" s="12"/>
      <x:c r="L170" s="12" t="str">
        <x:f>IF(OR(I170="",K170=""),"",I170*K170)</x:f>
      </x:c>
      <x:c r="M170" s="12"/>
      <x:c r="N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 t="str">
        <x:f>IF(OR(E171="",F171="",G171="",H171=""),"",E171*F171*G171*H171)</x:f>
      </x:c>
      <x:c r="J171" s="12" t="str">
        <x:f>IF(OR(E171="",F171="",G171="",H171=""),"",2*(E171*G171+E171*F171+F171*G171)*H171)</x:f>
      </x:c>
      <x:c r="K171" s="12"/>
      <x:c r="L171" s="12" t="str">
        <x:f>IF(OR(I171="",K171=""),"",I171*K171)</x:f>
      </x:c>
      <x:c r="M171" s="12"/>
      <x:c r="N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 t="str">
        <x:f>IF(OR(E172="",F172="",G172="",H172=""),"",E172*F172*G172*H172)</x:f>
      </x:c>
      <x:c r="J172" s="12" t="str">
        <x:f>IF(OR(E172="",F172="",G172="",H172=""),"",2*(E172*G172+E172*F172+F172*G172)*H172)</x:f>
      </x:c>
      <x:c r="K172" s="12"/>
      <x:c r="L172" s="12" t="str">
        <x:f>IF(OR(I172="",K172=""),"",I172*K172)</x:f>
      </x:c>
      <x:c r="M172" s="12"/>
      <x:c r="N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 t="str">
        <x:f>IF(OR(E173="",F173="",G173="",H173=""),"",E173*F173*G173*H173)</x:f>
      </x:c>
      <x:c r="J173" s="12" t="str">
        <x:f>IF(OR(E173="",F173="",G173="",H173=""),"",2*(E173*G173+E173*F173+F173*G173)*H173)</x:f>
      </x:c>
      <x:c r="K173" s="12"/>
      <x:c r="L173" s="12" t="str">
        <x:f>IF(OR(I173="",K173=""),"",I173*K173)</x:f>
      </x:c>
      <x:c r="M173" s="12"/>
      <x:c r="N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 t="str">
        <x:f>IF(OR(E174="",F174="",G174="",H174=""),"",E174*F174*G174*H174)</x:f>
      </x:c>
      <x:c r="J174" s="12" t="str">
        <x:f>IF(OR(E174="",F174="",G174="",H174=""),"",2*(E174*G174+E174*F174+F174*G174)*H174)</x:f>
      </x:c>
      <x:c r="K174" s="12"/>
      <x:c r="L174" s="12" t="str">
        <x:f>IF(OR(I174="",K174=""),"",I174*K174)</x:f>
      </x:c>
      <x:c r="M174" s="12"/>
      <x:c r="N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 t="str">
        <x:f>IF(OR(E175="",F175="",G175="",H175=""),"",E175*F175*G175*H175)</x:f>
      </x:c>
      <x:c r="J175" s="12" t="str">
        <x:f>IF(OR(E175="",F175="",G175="",H175=""),"",2*(E175*G175+E175*F175+F175*G175)*H175)</x:f>
      </x:c>
      <x:c r="K175" s="12"/>
      <x:c r="L175" s="12" t="str">
        <x:f>IF(OR(I175="",K175=""),"",I175*K175)</x:f>
      </x:c>
      <x:c r="M175" s="12"/>
      <x:c r="N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 t="str">
        <x:f>IF(OR(E176="",F176="",G176="",H176=""),"",E176*F176*G176*H176)</x:f>
      </x:c>
      <x:c r="J176" s="12" t="str">
        <x:f>IF(OR(E176="",F176="",G176="",H176=""),"",2*(E176*G176+E176*F176+F176*G176)*H176)</x:f>
      </x:c>
      <x:c r="K176" s="12"/>
      <x:c r="L176" s="12" t="str">
        <x:f>IF(OR(I176="",K176=""),"",I176*K176)</x:f>
      </x:c>
      <x:c r="M176" s="12"/>
      <x:c r="N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 t="str">
        <x:f>IF(OR(E177="",F177="",G177="",H177=""),"",E177*F177*G177*H177)</x:f>
      </x:c>
      <x:c r="J177" s="12" t="str">
        <x:f>IF(OR(E177="",F177="",G177="",H177=""),"",2*(E177*G177+E177*F177+F177*G177)*H177)</x:f>
      </x:c>
      <x:c r="K177" s="12"/>
      <x:c r="L177" s="12" t="str">
        <x:f>IF(OR(I177="",K177=""),"",I177*K177)</x:f>
      </x:c>
      <x:c r="M177" s="12"/>
      <x:c r="N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 t="str">
        <x:f>IF(OR(E178="",F178="",G178="",H178=""),"",E178*F178*G178*H178)</x:f>
      </x:c>
      <x:c r="J178" s="12" t="str">
        <x:f>IF(OR(E178="",F178="",G178="",H178=""),"",2*(E178*G178+E178*F178+F178*G178)*H178)</x:f>
      </x:c>
      <x:c r="K178" s="12"/>
      <x:c r="L178" s="12" t="str">
        <x:f>IF(OR(I178="",K178=""),"",I178*K178)</x:f>
      </x:c>
      <x:c r="M178" s="12"/>
      <x:c r="N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 t="str">
        <x:f>IF(OR(E179="",F179="",G179="",H179=""),"",E179*F179*G179*H179)</x:f>
      </x:c>
      <x:c r="J179" s="12" t="str">
        <x:f>IF(OR(E179="",F179="",G179="",H179=""),"",2*(E179*G179+E179*F179+F179*G179)*H179)</x:f>
      </x:c>
      <x:c r="K179" s="12"/>
      <x:c r="L179" s="12" t="str">
        <x:f>IF(OR(I179="",K179=""),"",I179*K179)</x:f>
      </x:c>
      <x:c r="M179" s="12"/>
      <x:c r="N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 t="str">
        <x:f>IF(OR(E180="",F180="",G180="",H180=""),"",E180*F180*G180*H180)</x:f>
      </x:c>
      <x:c r="J180" s="12" t="str">
        <x:f>IF(OR(E180="",F180="",G180="",H180=""),"",2*(E180*G180+E180*F180+F180*G180)*H180)</x:f>
      </x:c>
      <x:c r="K180" s="12"/>
      <x:c r="L180" s="12" t="str">
        <x:f>IF(OR(I180="",K180=""),"",I180*K180)</x:f>
      </x:c>
      <x:c r="M180" s="12"/>
      <x:c r="N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 t="str">
        <x:f>IF(OR(E181="",F181="",G181="",H181=""),"",E181*F181*G181*H181)</x:f>
      </x:c>
      <x:c r="J181" s="12" t="str">
        <x:f>IF(OR(E181="",F181="",G181="",H181=""),"",2*(E181*G181+E181*F181+F181*G181)*H181)</x:f>
      </x:c>
      <x:c r="K181" s="12"/>
      <x:c r="L181" s="12" t="str">
        <x:f>IF(OR(I181="",K181=""),"",I181*K181)</x:f>
      </x:c>
      <x:c r="M181" s="12"/>
      <x:c r="N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 t="str">
        <x:f>IF(OR(E182="",F182="",G182="",H182=""),"",E182*F182*G182*H182)</x:f>
      </x:c>
      <x:c r="J182" s="12" t="str">
        <x:f>IF(OR(E182="",F182="",G182="",H182=""),"",2*(E182*G182+E182*F182+F182*G182)*H182)</x:f>
      </x:c>
      <x:c r="K182" s="12"/>
      <x:c r="L182" s="12" t="str">
        <x:f>IF(OR(I182="",K182=""),"",I182*K182)</x:f>
      </x:c>
      <x:c r="M182" s="12"/>
      <x:c r="N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 t="str">
        <x:f>IF(OR(E183="",F183="",G183="",H183=""),"",E183*F183*G183*H183)</x:f>
      </x:c>
      <x:c r="J183" s="12" t="str">
        <x:f>IF(OR(E183="",F183="",G183="",H183=""),"",2*(E183*G183+E183*F183+F183*G183)*H183)</x:f>
      </x:c>
      <x:c r="K183" s="12"/>
      <x:c r="L183" s="12" t="str">
        <x:f>IF(OR(I183="",K183=""),"",I183*K183)</x:f>
      </x:c>
      <x:c r="M183" s="12"/>
      <x:c r="N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 t="str">
        <x:f>IF(OR(E184="",F184="",G184="",H184=""),"",E184*F184*G184*H184)</x:f>
      </x:c>
      <x:c r="J184" s="12" t="str">
        <x:f>IF(OR(E184="",F184="",G184="",H184=""),"",2*(E184*G184+E184*F184+F184*G184)*H184)</x:f>
      </x:c>
      <x:c r="K184" s="12"/>
      <x:c r="L184" s="12" t="str">
        <x:f>IF(OR(I184="",K184=""),"",I184*K184)</x:f>
      </x:c>
      <x:c r="M184" s="12"/>
      <x:c r="N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 t="str">
        <x:f>IF(OR(E185="",F185="",G185="",H185=""),"",E185*F185*G185*H185)</x:f>
      </x:c>
      <x:c r="J185" s="12" t="str">
        <x:f>IF(OR(E185="",F185="",G185="",H185=""),"",2*(E185*G185+E185*F185+F185*G185)*H185)</x:f>
      </x:c>
      <x:c r="K185" s="12"/>
      <x:c r="L185" s="12" t="str">
        <x:f>IF(OR(I185="",K185=""),"",I185*K185)</x:f>
      </x:c>
      <x:c r="M185" s="12"/>
      <x:c r="N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 t="str">
        <x:f>IF(OR(E186="",F186="",G186="",H186=""),"",E186*F186*G186*H186)</x:f>
      </x:c>
      <x:c r="J186" s="12" t="str">
        <x:f>IF(OR(E186="",F186="",G186="",H186=""),"",2*(E186*G186+E186*F186+F186*G186)*H186)</x:f>
      </x:c>
      <x:c r="K186" s="12"/>
      <x:c r="L186" s="12" t="str">
        <x:f>IF(OR(I186="",K186=""),"",I186*K186)</x:f>
      </x:c>
      <x:c r="M186" s="12"/>
      <x:c r="N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 t="str">
        <x:f>IF(OR(E187="",F187="",G187="",H187=""),"",E187*F187*G187*H187)</x:f>
      </x:c>
      <x:c r="J187" s="12" t="str">
        <x:f>IF(OR(E187="",F187="",G187="",H187=""),"",2*(E187*G187+E187*F187+F187*G187)*H187)</x:f>
      </x:c>
      <x:c r="K187" s="12"/>
      <x:c r="L187" s="12" t="str">
        <x:f>IF(OR(I187="",K187=""),"",I187*K187)</x:f>
      </x:c>
      <x:c r="M187" s="12"/>
      <x:c r="N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 t="str">
        <x:f>IF(OR(E188="",F188="",G188="",H188=""),"",E188*F188*G188*H188)</x:f>
      </x:c>
      <x:c r="J188" s="12" t="str">
        <x:f>IF(OR(E188="",F188="",G188="",H188=""),"",2*(E188*G188+E188*F188+F188*G188)*H188)</x:f>
      </x:c>
      <x:c r="K188" s="12"/>
      <x:c r="L188" s="12" t="str">
        <x:f>IF(OR(I188="",K188=""),"",I188*K188)</x:f>
      </x:c>
      <x:c r="M188" s="12"/>
      <x:c r="N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 t="str">
        <x:f>IF(OR(E189="",F189="",G189="",H189=""),"",E189*F189*G189*H189)</x:f>
      </x:c>
      <x:c r="J189" s="12" t="str">
        <x:f>IF(OR(E189="",F189="",G189="",H189=""),"",2*(E189*G189+E189*F189+F189*G189)*H189)</x:f>
      </x:c>
      <x:c r="K189" s="12"/>
      <x:c r="L189" s="12" t="str">
        <x:f>IF(OR(I189="",K189=""),"",I189*K189)</x:f>
      </x:c>
      <x:c r="M189" s="12"/>
      <x:c r="N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 t="str">
        <x:f>IF(OR(E190="",F190="",G190="",H190=""),"",E190*F190*G190*H190)</x:f>
      </x:c>
      <x:c r="J190" s="12" t="str">
        <x:f>IF(OR(E190="",F190="",G190="",H190=""),"",2*(E190*G190+E190*F190+F190*G190)*H190)</x:f>
      </x:c>
      <x:c r="K190" s="12"/>
      <x:c r="L190" s="12" t="str">
        <x:f>IF(OR(I190="",K190=""),"",I190*K190)</x:f>
      </x:c>
      <x:c r="M190" s="12"/>
      <x:c r="N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 t="str">
        <x:f>IF(OR(E191="",F191="",G191="",H191=""),"",E191*F191*G191*H191)</x:f>
      </x:c>
      <x:c r="J191" s="12" t="str">
        <x:f>IF(OR(E191="",F191="",G191="",H191=""),"",2*(E191*G191+E191*F191+F191*G191)*H191)</x:f>
      </x:c>
      <x:c r="K191" s="12"/>
      <x:c r="L191" s="12" t="str">
        <x:f>IF(OR(I191="",K191=""),"",I191*K191)</x:f>
      </x:c>
      <x:c r="M191" s="12"/>
      <x:c r="N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 t="str">
        <x:f>IF(OR(E192="",F192="",G192="",H192=""),"",E192*F192*G192*H192)</x:f>
      </x:c>
      <x:c r="J192" s="12" t="str">
        <x:f>IF(OR(E192="",F192="",G192="",H192=""),"",2*(E192*G192+E192*F192+F192*G192)*H192)</x:f>
      </x:c>
      <x:c r="K192" s="12"/>
      <x:c r="L192" s="12" t="str">
        <x:f>IF(OR(I192="",K192=""),"",I192*K192)</x:f>
      </x:c>
      <x:c r="M192" s="12"/>
      <x:c r="N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 t="str">
        <x:f>IF(OR(E193="",F193="",G193="",H193=""),"",E193*F193*G193*H193)</x:f>
      </x:c>
      <x:c r="J193" s="12" t="str">
        <x:f>IF(OR(E193="",F193="",G193="",H193=""),"",2*(E193*G193+E193*F193+F193*G193)*H193)</x:f>
      </x:c>
      <x:c r="K193" s="12"/>
      <x:c r="L193" s="12" t="str">
        <x:f>IF(OR(I193="",K193=""),"",I193*K193)</x:f>
      </x:c>
      <x:c r="M193" s="12"/>
      <x:c r="N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 t="str">
        <x:f>IF(OR(E194="",F194="",G194="",H194=""),"",E194*F194*G194*H194)</x:f>
      </x:c>
      <x:c r="J194" s="12" t="str">
        <x:f>IF(OR(E194="",F194="",G194="",H194=""),"",2*(E194*G194+E194*F194+F194*G194)*H194)</x:f>
      </x:c>
      <x:c r="K194" s="12"/>
      <x:c r="L194" s="12" t="str">
        <x:f>IF(OR(I194="",K194=""),"",I194*K194)</x:f>
      </x:c>
      <x:c r="M194" s="12"/>
      <x:c r="N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 t="str">
        <x:f>IF(OR(E195="",F195="",G195="",H195=""),"",E195*F195*G195*H195)</x:f>
      </x:c>
      <x:c r="J195" s="12" t="str">
        <x:f>IF(OR(E195="",F195="",G195="",H195=""),"",2*(E195*G195+E195*F195+F195*G195)*H195)</x:f>
      </x:c>
      <x:c r="K195" s="12"/>
      <x:c r="L195" s="12" t="str">
        <x:f>IF(OR(I195="",K195=""),"",I195*K195)</x:f>
      </x:c>
      <x:c r="M195" s="12"/>
      <x:c r="N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 t="str">
        <x:f>IF(OR(E196="",F196="",G196="",H196=""),"",E196*F196*G196*H196)</x:f>
      </x:c>
      <x:c r="J196" s="12" t="str">
        <x:f>IF(OR(E196="",F196="",G196="",H196=""),"",2*(E196*G196+E196*F196+F196*G196)*H196)</x:f>
      </x:c>
      <x:c r="K196" s="12"/>
      <x:c r="L196" s="12" t="str">
        <x:f>IF(OR(I196="",K196=""),"",I196*K196)</x:f>
      </x:c>
      <x:c r="M196" s="12"/>
      <x:c r="N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 t="str">
        <x:f>IF(OR(E197="",F197="",G197="",H197=""),"",E197*F197*G197*H197)</x:f>
      </x:c>
      <x:c r="J197" s="12" t="str">
        <x:f>IF(OR(E197="",F197="",G197="",H197=""),"",2*(E197*G197+E197*F197+F197*G197)*H197)</x:f>
      </x:c>
      <x:c r="K197" s="12"/>
      <x:c r="L197" s="12" t="str">
        <x:f>IF(OR(I197="",K197=""),"",I197*K197)</x:f>
      </x:c>
      <x:c r="M197" s="12"/>
      <x:c r="N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 t="str">
        <x:f>IF(OR(E198="",F198="",G198="",H198=""),"",E198*F198*G198*H198)</x:f>
      </x:c>
      <x:c r="J198" s="12" t="str">
        <x:f>IF(OR(E198="",F198="",G198="",H198=""),"",2*(E198*G198+E198*F198+F198*G198)*H198)</x:f>
      </x:c>
      <x:c r="K198" s="12"/>
      <x:c r="L198" s="12" t="str">
        <x:f>IF(OR(I198="",K198=""),"",I198*K198)</x:f>
      </x:c>
      <x:c r="M198" s="12"/>
      <x:c r="N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 t="str">
        <x:f>IF(OR(E199="",F199="",G199="",H199=""),"",E199*F199*G199*H199)</x:f>
      </x:c>
      <x:c r="J199" s="12" t="str">
        <x:f>IF(OR(E199="",F199="",G199="",H199=""),"",2*(E199*G199+E199*F199+F199*G199)*H199)</x:f>
      </x:c>
      <x:c r="K199" s="12"/>
      <x:c r="L199" s="12" t="str">
        <x:f>IF(OR(I199="",K199=""),"",I199*K199)</x:f>
      </x:c>
      <x:c r="M199" s="12"/>
      <x:c r="N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 t="str">
        <x:f>IF(OR(E200="",F200="",G200="",H200=""),"",E200*F200*G200*H200)</x:f>
      </x:c>
      <x:c r="J200" s="12" t="str">
        <x:f>IF(OR(E200="",F200="",G200="",H200=""),"",2*(E200*G200+E200*F200+F200*G200)*H200)</x:f>
      </x:c>
      <x:c r="K200" s="12"/>
      <x:c r="L200" s="12" t="str">
        <x:f>IF(OR(I200="",K200=""),"",I200*K200)</x:f>
      </x:c>
      <x:c r="M200" s="12"/>
      <x:c r="N200" s="12"/>
    </x:row>
  </x:sheetData>
  <x:dataValidations count="2">
    <x:dataValidation type="list" sqref="C2:C200">
      <x:formula1>Listas!$A$2:$A$11</x:formula1>
    </x:dataValidation>
    <x:dataValidation type="list" sqref="M2:M2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876d4b7da44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0" hidden="0" customWidth="1"/>
  </x:cols>
  <x:sheetData>
    <x:row r="1">
      <x:c r="A1" s="6" t="str">
        <x:v>ID</x:v>
      </x:c>
      <x:c r="B1" s="6" t="str">
        <x:v>Data</x:v>
      </x:c>
      <x:c r="C1" s="6" t="str">
        <x:v>Local</x:v>
      </x:c>
      <x:c r="D1" s="6" t="str">
        <x:v>Elemento</x:v>
      </x:c>
      <x:c r="E1" s="6" t="str">
        <x:v>Sintoma</x:v>
      </x:c>
      <x:c r="F1" s="6" t="str">
        <x:v>Severidade preliminar</x:v>
      </x:c>
      <x:c r="G1" s="6" t="str">
        <x:v>Registro/Foto</x:v>
      </x:c>
      <x:c r="H1" s="6" t="str">
        <x:v>Ação recomendada</x:v>
      </x:c>
      <x:c r="I1" s="6" t="str">
        <x:v>Status</x:v>
      </x:c>
      <x:c r="J1" s="6" t="str">
        <x:v>Observações</x:v>
      </x:c>
    </x:row>
    <x:row r="2">
      <x:c r="A2" s="12" t="str">
        <x:v>V-001</x:v>
      </x:c>
      <x:c r="B2" s="26" t="str"/>
      <x:c r="C2" s="12" t="str">
        <x:v>Ex.: Garagem</x:v>
      </x:c>
      <x:c r="D2" s="12" t="str">
        <x:v>Pilar</x:v>
      </x:c>
      <x:c r="E2" s="12" t="str">
        <x:v>Fissura/trinca</x:v>
      </x:c>
      <x:c r="F2" s="12" t="str">
        <x:v>Média</x:v>
      </x:c>
      <x:c r="G2" s="12" t="str"/>
      <x:c r="H2" s="12" t="str">
        <x:v>Solicitar avaliação técnica</x:v>
      </x:c>
      <x:c r="I2" s="12" t="str">
        <x:v>Pendente validação técnica</x:v>
      </x:c>
      <x:c r="J2" s="12" t="str"/>
    </x:row>
    <x:row r="3">
      <x:c r="A3" s="12" t="str">
        <x:v>V-002</x:v>
      </x:c>
      <x:c r="B3" s="26" t="str"/>
      <x:c r="C3" s="12" t="str">
        <x:v>Ex.: Muro lateral</x:v>
      </x:c>
      <x:c r="D3" s="12" t="str">
        <x:v>Muro de arrimo</x:v>
      </x:c>
      <x:c r="E3" s="12" t="str">
        <x:v>Umidade/eflorescência</x:v>
      </x:c>
      <x:c r="F3" s="12" t="str">
        <x:v>Baixa</x:v>
      </x:c>
      <x:c r="G3" s="12" t="str"/>
      <x:c r="H3" s="12" t="str">
        <x:v>Verificar drenagem</x:v>
      </x:c>
      <x:c r="I3" s="12" t="str">
        <x:v>Não iniciado</x:v>
      </x:c>
      <x:c r="J3" s="12" t="str"/>
    </x:row>
    <x:row r="4">
      <x:c r="A4" s="12" t="str">
        <x:v>V-003</x:v>
      </x:c>
      <x:c r="B4" s="26" t="str"/>
      <x:c r="C4" s="12" t="str">
        <x:v>Ex.: Laje cobertura</x:v>
      </x:c>
      <x:c r="D4" s="12" t="str">
        <x:v>Laje</x:v>
      </x:c>
      <x:c r="E4" s="12" t="str">
        <x:v>Infiltração/desplacamento</x:v>
      </x:c>
      <x:c r="F4" s="12" t="str">
        <x:v>Alta</x:v>
      </x:c>
      <x:c r="G4" s="12" t="str"/>
      <x:c r="H4" s="12" t="str">
        <x:v>Isolar área e avaliar</x:v>
      </x:c>
      <x:c r="I4" s="12" t="str">
        <x:v>Revisar</x:v>
      </x:c>
      <x:c r="J4" s="12" t="str"/>
    </x:row>
    <x:row r="5">
      <x:c r="A5" s="12"/>
      <x:c r="B5" s="26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26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26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26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26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26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26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26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26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26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26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26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26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26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26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26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26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26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26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26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26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26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26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26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26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26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26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26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26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26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26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26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26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26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26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26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26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26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26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26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26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26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26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26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26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26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26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26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26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26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26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26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26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26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26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26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26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26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26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26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26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26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26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26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26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26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26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26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26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26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26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26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26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26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26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26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26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26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26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26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26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26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26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26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26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26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26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26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26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26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26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26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26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26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26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26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26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26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26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26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26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26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26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26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26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26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26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26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26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26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26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26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26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26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26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26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26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26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26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26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26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26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26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26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26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26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26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26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26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26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26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26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26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26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26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26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26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26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26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26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26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26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26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26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26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26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26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26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26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26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26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26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26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26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26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26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26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26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26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26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26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26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26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26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26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26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26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26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26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26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26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26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26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26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26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26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26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26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26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26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26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26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26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26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26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26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26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26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26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26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26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26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26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26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26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26"/>
      <x:c r="C200" s="12"/>
      <x:c r="D200" s="12"/>
      <x:c r="E200" s="12"/>
      <x:c r="F200" s="12"/>
      <x:c r="G200" s="12"/>
      <x:c r="H200" s="12"/>
      <x:c r="I200" s="12"/>
      <x:c r="J200" s="12"/>
    </x:row>
  </x:sheetData>
  <x:dataValidations count="2">
    <x:dataValidation type="list" sqref="F2:F200">
      <x:formula1>Listas!$D$2:$D$5</x:formula1>
    </x:dataValidation>
    <x:dataValidation type="list" sqref="I2:I2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983f914ed4e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48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6" t="str">
        <x:v>Código</x:v>
      </x:c>
      <x:c r="B1" s="6" t="str">
        <x:v>Projeto-modelo</x:v>
      </x:c>
      <x:c r="C1" s="6" t="str">
        <x:v>Categoria</x:v>
      </x:c>
      <x:c r="D1" s="6" t="str">
        <x:v>Descrição</x:v>
      </x:c>
      <x:c r="E1" s="6" t="str">
        <x:v>Status</x:v>
      </x:c>
      <x:c r="F1" s="6" t="str">
        <x:v>Prioridade</x:v>
      </x:c>
      <x:c r="G1" s="6" t="str">
        <x:v>Responsável</x:v>
      </x:c>
      <x:c r="H1" s="6" t="str">
        <x:v>Data início</x:v>
      </x:c>
      <x:c r="I1" s="6" t="str">
        <x:v>Data revisão</x:v>
      </x:c>
      <x:c r="J1" s="6" t="str">
        <x:v>Observações</x:v>
      </x:c>
    </x:row>
    <x:row r="2">
      <x:c r="A2" s="12" t="str">
        <x:v>EST-01</x:v>
      </x:c>
      <x:c r="B2" s="12" t="str">
        <x:v>Viga Baldrame Residencial</x:v>
      </x:c>
      <x:c r="C2" s="12" t="str">
        <x:v>Vigas</x:v>
      </x:c>
      <x:c r="D2" s="12" t="str">
        <x:v>Viga baldrame sob paredes, corte e relação solo/alvenaria.</x:v>
      </x:c>
      <x:c r="E2" s="12" t="str">
        <x:v>Não iniciado</x:v>
      </x:c>
      <x:c r="F2" s="12" t="str">
        <x:v>Média</x:v>
      </x:c>
      <x:c r="G2" s="12" t="str"/>
      <x:c r="H2" s="26" t="str"/>
      <x:c r="I2" s="26" t="str"/>
      <x:c r="J2" s="12" t="str"/>
    </x:row>
    <x:row r="3">
      <x:c r="A3" s="12" t="str">
        <x:v>EST-02</x:v>
      </x:c>
      <x:c r="B3" s="12" t="str">
        <x:v>Viga Aérea em Concreto Armado</x:v>
      </x:c>
      <x:c r="C3" s="12" t="str">
        <x:v>Vigas</x:v>
      </x:c>
      <x:c r="D3" s="12" t="str">
        <x:v>Viga elevada apoiada em pilares, armadura conceitual e tabela de trechos.</x:v>
      </x:c>
      <x:c r="E3" s="12" t="str">
        <x:v>Não iniciado</x:v>
      </x:c>
      <x:c r="F3" s="12" t="str">
        <x:v>Média</x:v>
      </x:c>
      <x:c r="G3" s="12" t="str"/>
      <x:c r="H3" s="26" t="str"/>
      <x:c r="I3" s="26" t="str"/>
      <x:c r="J3" s="12" t="str"/>
    </x:row>
    <x:row r="4">
      <x:c r="A4" s="12" t="str">
        <x:v>EST-03</x:v>
      </x:c>
      <x:c r="B4" s="12" t="str">
        <x:v>Viga de Travamento entre Sapatas</x:v>
      </x:c>
      <x:c r="C4" s="12" t="str">
        <x:v>Vigas</x:v>
      </x:c>
      <x:c r="D4" s="12" t="str">
        <x:v>Travamento de fundações isoladas e ligação com pilares.</x:v>
      </x:c>
      <x:c r="E4" s="12" t="str">
        <x:v>Não iniciado</x:v>
      </x:c>
      <x:c r="F4" s="12" t="str">
        <x:v>Média</x:v>
      </x:c>
      <x:c r="G4" s="12" t="str"/>
      <x:c r="H4" s="26" t="str"/>
      <x:c r="I4" s="26" t="str"/>
      <x:c r="J4" s="12" t="str"/>
    </x:row>
    <x:row r="5">
      <x:c r="A5" s="12" t="str">
        <x:v>EST-04</x:v>
      </x:c>
      <x:c r="B5" s="12" t="str">
        <x:v>Viga de Borda para Laje</x:v>
      </x:c>
      <x:c r="C5" s="12" t="str">
        <x:v>Vigas</x:v>
      </x:c>
      <x:c r="D5" s="12" t="str">
        <x:v>Viga periférica associada à laje e fechamento.</x:v>
      </x:c>
      <x:c r="E5" s="12" t="str">
        <x:v>Não iniciado</x:v>
      </x:c>
      <x:c r="F5" s="12" t="str">
        <x:v>Média</x:v>
      </x:c>
      <x:c r="G5" s="12" t="str"/>
      <x:c r="H5" s="26" t="str"/>
      <x:c r="I5" s="26" t="str"/>
      <x:c r="J5" s="12" t="str"/>
    </x:row>
    <x:row r="6">
      <x:c r="A6" s="12" t="str">
        <x:v>EST-05</x:v>
      </x:c>
      <x:c r="B6" s="12" t="str">
        <x:v>Viga Invertida Conceitual</x:v>
      </x:c>
      <x:c r="C6" s="12" t="str">
        <x:v>Vigas</x:v>
      </x:c>
      <x:c r="D6" s="12" t="str">
        <x:v>Viga com alma acima da laje para estudo de interferência e altura útil.</x:v>
      </x:c>
      <x:c r="E6" s="12" t="str">
        <x:v>Não iniciado</x:v>
      </x:c>
      <x:c r="F6" s="12" t="str">
        <x:v>Média</x:v>
      </x:c>
      <x:c r="G6" s="12" t="str"/>
      <x:c r="H6" s="26" t="str"/>
      <x:c r="I6" s="26" t="str"/>
      <x:c r="J6" s="12" t="str"/>
    </x:row>
    <x:row r="7">
      <x:c r="A7" s="12" t="str">
        <x:v>EST-06</x:v>
      </x:c>
      <x:c r="B7" s="12" t="str">
        <x:v>Pilar Residencial em Concreto Armado</x:v>
      </x:c>
      <x:c r="C7" s="12" t="str">
        <x:v>Pilares</x:v>
      </x:c>
      <x:c r="D7" s="12" t="str">
        <x:v>Pilar simples com seção, estribos, armadura longitudinal e ligação com vigas.</x:v>
      </x:c>
      <x:c r="E7" s="12" t="str">
        <x:v>Não iniciado</x:v>
      </x:c>
      <x:c r="F7" s="12" t="str">
        <x:v>Média</x:v>
      </x:c>
      <x:c r="G7" s="12" t="str"/>
      <x:c r="H7" s="26" t="str"/>
      <x:c r="I7" s="26" t="str"/>
      <x:c r="J7" s="12" t="str"/>
    </x:row>
    <x:row r="8">
      <x:c r="A8" s="12" t="str">
        <x:v>EST-07</x:v>
      </x:c>
      <x:c r="B8" s="12" t="str">
        <x:v>Pilar de Canto com Vigas Conectadas</x:v>
      </x:c>
      <x:c r="C8" s="12" t="str">
        <x:v>Pilares</x:v>
      </x:c>
      <x:c r="D8" s="12" t="str">
        <x:v>Pilar em extremidade com vigas em duas direções.</x:v>
      </x:c>
      <x:c r="E8" s="12" t="str">
        <x:v>Não iniciado</x:v>
      </x:c>
      <x:c r="F8" s="12" t="str">
        <x:v>Média</x:v>
      </x:c>
      <x:c r="G8" s="12" t="str"/>
      <x:c r="H8" s="26" t="str"/>
      <x:c r="I8" s="26" t="str"/>
      <x:c r="J8" s="12" t="str"/>
    </x:row>
    <x:row r="9">
      <x:c r="A9" s="12" t="str">
        <x:v>EST-08</x:v>
      </x:c>
      <x:c r="B9" s="12" t="str">
        <x:v>Pilar de Borda</x:v>
      </x:c>
      <x:c r="C9" s="12" t="str">
        <x:v>Pilares</x:v>
      </x:c>
      <x:c r="D9" s="12" t="str">
        <x:v>Pilar lateral com excentricidade conceitual e tabela de identificação.</x:v>
      </x:c>
      <x:c r="E9" s="12" t="str">
        <x:v>Não iniciado</x:v>
      </x:c>
      <x:c r="F9" s="12" t="str">
        <x:v>Média</x:v>
      </x:c>
      <x:c r="G9" s="12" t="str"/>
      <x:c r="H9" s="26" t="str"/>
      <x:c r="I9" s="26" t="str"/>
      <x:c r="J9" s="12" t="str"/>
    </x:row>
    <x:row r="10">
      <x:c r="A10" s="12" t="str">
        <x:v>EST-09</x:v>
      </x:c>
      <x:c r="B10" s="12" t="str">
        <x:v>Pilar-Parede Conceitual</x:v>
      </x:c>
      <x:c r="C10" s="12" t="str">
        <x:v>Pilares</x:v>
      </x:c>
      <x:c r="D10" s="12" t="str">
        <x:v>Elemento vertical alongado para estudo de rigidez e distribuição.</x:v>
      </x:c>
      <x:c r="E10" s="12" t="str">
        <x:v>Não iniciado</x:v>
      </x:c>
      <x:c r="F10" s="12" t="str">
        <x:v>Média</x:v>
      </x:c>
      <x:c r="G10" s="12" t="str"/>
      <x:c r="H10" s="26" t="str"/>
      <x:c r="I10" s="26" t="str"/>
      <x:c r="J10" s="12" t="str"/>
    </x:row>
    <x:row r="11">
      <x:c r="A11" s="12" t="str">
        <x:v>EST-10</x:v>
      </x:c>
      <x:c r="B11" s="12" t="str">
        <x:v>Arranque de Pilar em Fundação</x:v>
      </x:c>
      <x:c r="C11" s="12" t="str">
        <x:v>Pilares</x:v>
      </x:c>
      <x:c r="D11" s="12" t="str">
        <x:v>Esperas, bloco/sapata, cobrimento e transição fundação-pilar.</x:v>
      </x:c>
      <x:c r="E11" s="12" t="str">
        <x:v>Não iniciado</x:v>
      </x:c>
      <x:c r="F11" s="12" t="str">
        <x:v>Média</x:v>
      </x:c>
      <x:c r="G11" s="12" t="str"/>
      <x:c r="H11" s="26" t="str"/>
      <x:c r="I11" s="26" t="str"/>
      <x:c r="J11" s="12" t="str"/>
    </x:row>
    <x:row r="12">
      <x:c r="A12" s="12" t="str">
        <x:v>EST-11</x:v>
      </x:c>
      <x:c r="B12" s="12" t="str">
        <x:v>Laje Maciça Unidirecional</x:v>
      </x:c>
      <x:c r="C12" s="12" t="str">
        <x:v>Lajes</x:v>
      </x:c>
      <x:c r="D12" s="12" t="str">
        <x:v>Laje apoiada em duas direções predominantes com sentido de armação.</x:v>
      </x:c>
      <x:c r="E12" s="12" t="str">
        <x:v>Não iniciado</x:v>
      </x:c>
      <x:c r="F12" s="12" t="str">
        <x:v>Média</x:v>
      </x:c>
      <x:c r="G12" s="12" t="str"/>
      <x:c r="H12" s="26" t="str"/>
      <x:c r="I12" s="26" t="str"/>
      <x:c r="J12" s="12" t="str"/>
    </x:row>
    <x:row r="13">
      <x:c r="A13" s="12" t="str">
        <x:v>EST-12</x:v>
      </x:c>
      <x:c r="B13" s="12" t="str">
        <x:v>Laje Maciça Bidirecional</x:v>
      </x:c>
      <x:c r="C13" s="12" t="str">
        <x:v>Lajes</x:v>
      </x:c>
      <x:c r="D13" s="12" t="str">
        <x:v>Painel com trabalho em duas direções, bordas e apoios.</x:v>
      </x:c>
      <x:c r="E13" s="12" t="str">
        <x:v>Não iniciado</x:v>
      </x:c>
      <x:c r="F13" s="12" t="str">
        <x:v>Média</x:v>
      </x:c>
      <x:c r="G13" s="12" t="str"/>
      <x:c r="H13" s="26" t="str"/>
      <x:c r="I13" s="26" t="str"/>
      <x:c r="J13" s="12" t="str"/>
    </x:row>
    <x:row r="14">
      <x:c r="A14" s="12" t="str">
        <x:v>EST-13</x:v>
      </x:c>
      <x:c r="B14" s="12" t="str">
        <x:v>Laje Treliçada com Enchimento</x:v>
      </x:c>
      <x:c r="C14" s="12" t="str">
        <x:v>Lajes</x:v>
      </x:c>
      <x:c r="D14" s="12" t="str">
        <x:v>Vigotas, enchimento, capa de concreto e apoios.</x:v>
      </x:c>
      <x:c r="E14" s="12" t="str">
        <x:v>Não iniciado</x:v>
      </x:c>
      <x:c r="F14" s="12" t="str">
        <x:v>Média</x:v>
      </x:c>
      <x:c r="G14" s="12" t="str"/>
      <x:c r="H14" s="26" t="str"/>
      <x:c r="I14" s="26" t="str"/>
      <x:c r="J14" s="12" t="str"/>
    </x:row>
    <x:row r="15">
      <x:c r="A15" s="12" t="str">
        <x:v>EST-14</x:v>
      </x:c>
      <x:c r="B15" s="12" t="str">
        <x:v>Laje em Balanço para Sacada</x:v>
      </x:c>
      <x:c r="C15" s="12" t="str">
        <x:v>Lajes</x:v>
      </x:c>
      <x:c r="D15" s="12" t="str">
        <x:v>Balanço, engastamento conceitual e alerta de cálculo especializado.</x:v>
      </x:c>
      <x:c r="E15" s="12" t="str">
        <x:v>Não iniciado</x:v>
      </x:c>
      <x:c r="F15" s="12" t="str">
        <x:v>Média</x:v>
      </x:c>
      <x:c r="G15" s="12" t="str"/>
      <x:c r="H15" s="26" t="str"/>
      <x:c r="I15" s="26" t="str"/>
      <x:c r="J15" s="12" t="str"/>
    </x:row>
    <x:row r="16">
      <x:c r="A16" s="12" t="str">
        <x:v>EST-15</x:v>
      </x:c>
      <x:c r="B16" s="12" t="str">
        <x:v>Laje com Shaft Técnico</x:v>
      </x:c>
      <x:c r="C16" s="12" t="str">
        <x:v>Lajes</x:v>
      </x:c>
      <x:c r="D16" s="12" t="str">
        <x:v>Abertura técnica, bordas reforçadas conceituais e compatibilização.</x:v>
      </x:c>
      <x:c r="E16" s="12" t="str">
        <x:v>Não iniciado</x:v>
      </x:c>
      <x:c r="F16" s="12" t="str">
        <x:v>Média</x:v>
      </x:c>
      <x:c r="G16" s="12" t="str"/>
      <x:c r="H16" s="26" t="str"/>
      <x:c r="I16" s="26" t="str"/>
      <x:c r="J16" s="12" t="str"/>
    </x:row>
    <x:row r="17">
      <x:c r="A17" s="12" t="str">
        <x:v>EST-16</x:v>
      </x:c>
      <x:c r="B17" s="12" t="str">
        <x:v>Sapata Isolada com Pilar Central</x:v>
      </x:c>
      <x:c r="C17" s="12" t="str">
        <x:v>Fundações</x:v>
      </x:c>
      <x:c r="D17" s="12" t="str">
        <x:v>Sapata, lastro, pilar, solo e critérios de estudo.</x:v>
      </x:c>
      <x:c r="E17" s="12" t="str">
        <x:v>Não iniciado</x:v>
      </x:c>
      <x:c r="F17" s="12" t="str">
        <x:v>Média</x:v>
      </x:c>
      <x:c r="G17" s="12" t="str"/>
      <x:c r="H17" s="26" t="str"/>
      <x:c r="I17" s="26" t="str"/>
      <x:c r="J17" s="12" t="str"/>
    </x:row>
    <x:row r="18">
      <x:c r="A18" s="12" t="str">
        <x:v>EST-17</x:v>
      </x:c>
      <x:c r="B18" s="12" t="str">
        <x:v>Sapata de Divisa</x:v>
      </x:c>
      <x:c r="C18" s="12" t="str">
        <x:v>Fundações</x:v>
      </x:c>
      <x:c r="D18" s="12" t="str">
        <x:v>Fundação em divisa e excentricidade conceitual.</x:v>
      </x:c>
      <x:c r="E18" s="12" t="str">
        <x:v>Não iniciado</x:v>
      </x:c>
      <x:c r="F18" s="12" t="str">
        <x:v>Média</x:v>
      </x:c>
      <x:c r="G18" s="12" t="str"/>
      <x:c r="H18" s="26" t="str"/>
      <x:c r="I18" s="26" t="str"/>
      <x:c r="J18" s="12" t="str"/>
    </x:row>
    <x:row r="19">
      <x:c r="A19" s="12" t="str">
        <x:v>EST-18</x:v>
      </x:c>
      <x:c r="B19" s="12" t="str">
        <x:v>Sapata Corrida sob Parede</x:v>
      </x:c>
      <x:c r="C19" s="12" t="str">
        <x:v>Fundações</x:v>
      </x:c>
      <x:c r="D19" s="12" t="str">
        <x:v>Fundação linear sob alvenaria e corte esquemático.</x:v>
      </x:c>
      <x:c r="E19" s="12" t="str">
        <x:v>Não iniciado</x:v>
      </x:c>
      <x:c r="F19" s="12" t="str">
        <x:v>Média</x:v>
      </x:c>
      <x:c r="G19" s="12" t="str"/>
      <x:c r="H19" s="26" t="str"/>
      <x:c r="I19" s="26" t="str"/>
      <x:c r="J19" s="12" t="str"/>
    </x:row>
    <x:row r="20">
      <x:c r="A20" s="12" t="str">
        <x:v>EST-19</x:v>
      </x:c>
      <x:c r="B20" s="12" t="str">
        <x:v>Radier Residencial Conceitual</x:v>
      </x:c>
      <x:c r="C20" s="12" t="str">
        <x:v>Fundações</x:v>
      </x:c>
      <x:c r="D20" s="12" t="str">
        <x:v>Laje de fundação, malha, juntas e regularização.</x:v>
      </x:c>
      <x:c r="E20" s="12" t="str">
        <x:v>Não iniciado</x:v>
      </x:c>
      <x:c r="F20" s="12" t="str">
        <x:v>Média</x:v>
      </x:c>
      <x:c r="G20" s="12" t="str"/>
      <x:c r="H20" s="26" t="str"/>
      <x:c r="I20" s="26" t="str"/>
      <x:c r="J20" s="12" t="str"/>
    </x:row>
    <x:row r="21">
      <x:c r="A21" s="12" t="str">
        <x:v>EST-20</x:v>
      </x:c>
      <x:c r="B21" s="12" t="str">
        <x:v>Bloco sobre Estacas</x:v>
      </x:c>
      <x:c r="C21" s="12" t="str">
        <x:v>Fundações</x:v>
      </x:c>
      <x:c r="D21" s="12" t="str">
        <x:v>Bloco, estacas, pilar e transferência de cargas.</x:v>
      </x:c>
      <x:c r="E21" s="12" t="str">
        <x:v>Não iniciado</x:v>
      </x:c>
      <x:c r="F21" s="12" t="str">
        <x:v>Média</x:v>
      </x:c>
      <x:c r="G21" s="12" t="str"/>
      <x:c r="H21" s="26" t="str"/>
      <x:c r="I21" s="26" t="str"/>
      <x:c r="J21" s="12" t="str"/>
    </x:row>
    <x:row r="22">
      <x:c r="A22" s="12" t="str">
        <x:v>EST-21</x:v>
      </x:c>
      <x:c r="B22" s="12" t="str">
        <x:v>Muro de Divisa com Fundação Corrida</x:v>
      </x:c>
      <x:c r="C22" s="12" t="str">
        <x:v>Muros e contenções</x:v>
      </x:c>
      <x:c r="D22" s="12" t="str">
        <x:v>Muro simples, fundação corrida, juntas e amarrações.</x:v>
      </x:c>
      <x:c r="E22" s="12" t="str">
        <x:v>Não iniciado</x:v>
      </x:c>
      <x:c r="F22" s="12" t="str">
        <x:v>Média</x:v>
      </x:c>
      <x:c r="G22" s="12" t="str"/>
      <x:c r="H22" s="26" t="str"/>
      <x:c r="I22" s="26" t="str"/>
      <x:c r="J22" s="12" t="str"/>
    </x:row>
    <x:row r="23">
      <x:c r="A23" s="12" t="str">
        <x:v>EST-22</x:v>
      </x:c>
      <x:c r="B23" s="12" t="str">
        <x:v>Muro de Arrimo em Concreto Armado</x:v>
      </x:c>
      <x:c r="C23" s="12" t="str">
        <x:v>Muros e contenções</x:v>
      </x:c>
      <x:c r="D23" s="12" t="str">
        <x:v>Corte do muro, base, empuxo e estabilidade conceitual.</x:v>
      </x:c>
      <x:c r="E23" s="12" t="str">
        <x:v>Não iniciado</x:v>
      </x:c>
      <x:c r="F23" s="12" t="str">
        <x:v>Média</x:v>
      </x:c>
      <x:c r="G23" s="12" t="str"/>
      <x:c r="H23" s="26" t="str"/>
      <x:c r="I23" s="26" t="str"/>
      <x:c r="J23" s="12" t="str"/>
    </x:row>
    <x:row r="24">
      <x:c r="A24" s="12" t="str">
        <x:v>EST-23</x:v>
      </x:c>
      <x:c r="B24" s="12" t="str">
        <x:v>Muro de Arrimo com Drenagem</x:v>
      </x:c>
      <x:c r="C24" s="12" t="str">
        <x:v>Muros e contenções</x:v>
      </x:c>
      <x:c r="D24" s="12" t="str">
        <x:v>Sistema drenante, barbacãs, brita e manta geotêxtil.</x:v>
      </x:c>
      <x:c r="E24" s="12" t="str">
        <x:v>Não iniciado</x:v>
      </x:c>
      <x:c r="F24" s="12" t="str">
        <x:v>Média</x:v>
      </x:c>
      <x:c r="G24" s="12" t="str"/>
      <x:c r="H24" s="26" t="str"/>
      <x:c r="I24" s="26" t="str"/>
      <x:c r="J24" s="12" t="str"/>
    </x:row>
    <x:row r="25">
      <x:c r="A25" s="12" t="str">
        <x:v>EST-24</x:v>
      </x:c>
      <x:c r="B25" s="12" t="str">
        <x:v>Muro com Contrafortes</x:v>
      </x:c>
      <x:c r="C25" s="12" t="str">
        <x:v>Muros e contenções</x:v>
      </x:c>
      <x:c r="D25" s="12" t="str">
        <x:v>Muro alto com reforços verticais e leitura estrutural.</x:v>
      </x:c>
      <x:c r="E25" s="12" t="str">
        <x:v>Não iniciado</x:v>
      </x:c>
      <x:c r="F25" s="12" t="str">
        <x:v>Média</x:v>
      </x:c>
      <x:c r="G25" s="12" t="str"/>
      <x:c r="H25" s="26" t="str"/>
      <x:c r="I25" s="26" t="str"/>
      <x:c r="J25" s="12" t="str"/>
    </x:row>
    <x:row r="26">
      <x:c r="A26" s="12" t="str">
        <x:v>EST-25</x:v>
      </x:c>
      <x:c r="B26" s="12" t="str">
        <x:v>Contenção em Terreno Inclinado</x:v>
      </x:c>
      <x:c r="C26" s="12" t="str">
        <x:v>Muros e contenções</x:v>
      </x:c>
      <x:c r="D26" s="12" t="str">
        <x:v>Corte conceitual de contenção e drenagem em talude.</x:v>
      </x:c>
      <x:c r="E26" s="12" t="str">
        <x:v>Não iniciado</x:v>
      </x:c>
      <x:c r="F26" s="12" t="str">
        <x:v>Média</x:v>
      </x:c>
      <x:c r="G26" s="12" t="str"/>
      <x:c r="H26" s="26" t="str"/>
      <x:c r="I26" s="26" t="str"/>
      <x:c r="J26" s="12" t="str"/>
    </x:row>
    <x:row r="27">
      <x:c r="A27" s="12" t="str">
        <x:v>EST-26</x:v>
      </x:c>
      <x:c r="B27" s="12" t="str">
        <x:v>Escada Reta em Concreto Armado</x:v>
      </x:c>
      <x:c r="C27" s="12" t="str">
        <x:v>Elementos especiais</x:v>
      </x:c>
      <x:c r="D27" s="12" t="str">
        <x:v>Lance, patamar, apoios e armadura conceitual.</x:v>
      </x:c>
      <x:c r="E27" s="12" t="str">
        <x:v>Não iniciado</x:v>
      </x:c>
      <x:c r="F27" s="12" t="str">
        <x:v>Média</x:v>
      </x:c>
      <x:c r="G27" s="12" t="str"/>
      <x:c r="H27" s="26" t="str"/>
      <x:c r="I27" s="26" t="str"/>
      <x:c r="J27" s="12" t="str"/>
    </x:row>
    <x:row r="28">
      <x:c r="A28" s="12" t="str">
        <x:v>EST-27</x:v>
      </x:c>
      <x:c r="B28" s="12" t="str">
        <x:v>Escada em L com Patamar</x:v>
      </x:c>
      <x:c r="C28" s="12" t="str">
        <x:v>Elementos especiais</x:v>
      </x:c>
      <x:c r="D28" s="12" t="str">
        <x:v>Mudança de direção, patamar e apoios.</x:v>
      </x:c>
      <x:c r="E28" s="12" t="str">
        <x:v>Não iniciado</x:v>
      </x:c>
      <x:c r="F28" s="12" t="str">
        <x:v>Média</x:v>
      </x:c>
      <x:c r="G28" s="12" t="str"/>
      <x:c r="H28" s="26" t="str"/>
      <x:c r="I28" s="26" t="str"/>
      <x:c r="J28" s="12" t="str"/>
    </x:row>
    <x:row r="29">
      <x:c r="A29" s="12" t="str">
        <x:v>EST-28</x:v>
      </x:c>
      <x:c r="B29" s="12" t="str">
        <x:v>Marquise em Balanço</x:v>
      </x:c>
      <x:c r="C29" s="12" t="str">
        <x:v>Elementos especiais</x:v>
      </x:c>
      <x:c r="D29" s="12" t="str">
        <x:v>Elemento em balanço e alerta de risco estrutural.</x:v>
      </x:c>
      <x:c r="E29" s="12" t="str">
        <x:v>Não iniciado</x:v>
      </x:c>
      <x:c r="F29" s="12" t="str">
        <x:v>Média</x:v>
      </x:c>
      <x:c r="G29" s="12" t="str"/>
      <x:c r="H29" s="26" t="str"/>
      <x:c r="I29" s="26" t="str"/>
      <x:c r="J29" s="12" t="str"/>
    </x:row>
    <x:row r="30">
      <x:c r="A30" s="12" t="str">
        <x:v>EST-29</x:v>
      </x:c>
      <x:c r="B30" s="12" t="str">
        <x:v>Base Estrutural para Caixa d'Água</x:v>
      </x:c>
      <x:c r="C30" s="12" t="str">
        <x:v>Elementos especiais</x:v>
      </x:c>
      <x:c r="D30" s="12" t="str">
        <x:v>Apoio, distribuição de cargas e elevação conceitual.</x:v>
      </x:c>
      <x:c r="E30" s="12" t="str">
        <x:v>Não iniciado</x:v>
      </x:c>
      <x:c r="F30" s="12" t="str">
        <x:v>Média</x:v>
      </x:c>
      <x:c r="G30" s="12" t="str"/>
      <x:c r="H30" s="26" t="str"/>
      <x:c r="I30" s="26" t="str"/>
      <x:c r="J30" s="12" t="str"/>
    </x:row>
    <x:row r="31">
      <x:c r="A31" s="12" t="str">
        <x:v>EST-30</x:v>
      </x:c>
      <x:c r="B31" s="12" t="str">
        <x:v>Reservatório Apoiado Conceitual</x:v>
      </x:c>
      <x:c r="C31" s="12" t="str">
        <x:v>Elementos especiais</x:v>
      </x:c>
      <x:c r="D31" s="12" t="str">
        <x:v>Base, paredes, impermeabilização e carregamento hidráulico.</x:v>
      </x:c>
      <x:c r="E31" s="12" t="str">
        <x:v>Não iniciado</x:v>
      </x:c>
      <x:c r="F31" s="12" t="str">
        <x:v>Média</x:v>
      </x:c>
      <x:c r="G31" s="12" t="str"/>
      <x:c r="H31" s="26" t="str"/>
      <x:c r="I31" s="26" t="str"/>
      <x:c r="J31" s="12" t="str"/>
    </x:row>
    <x:row r="32">
      <x:c r="A32" s="12" t="str">
        <x:v>EST-31</x:v>
      </x:c>
      <x:c r="B32" s="12" t="str">
        <x:v>Pórtico Metálico Simples</x:v>
      </x:c>
      <x:c r="C32" s="12" t="str">
        <x:v>Metálicas e madeira</x:v>
      </x:c>
      <x:c r="D32" s="12" t="str">
        <x:v>Colunas, viga, ligações e contraventamento conceitual.</x:v>
      </x:c>
      <x:c r="E32" s="12" t="str">
        <x:v>Não iniciado</x:v>
      </x:c>
      <x:c r="F32" s="12" t="str">
        <x:v>Média</x:v>
      </x:c>
      <x:c r="G32" s="12" t="str"/>
      <x:c r="H32" s="26" t="str"/>
      <x:c r="I32" s="26" t="str"/>
      <x:c r="J32" s="12" t="str"/>
    </x:row>
    <x:row r="33">
      <x:c r="A33" s="12" t="str">
        <x:v>EST-32</x:v>
      </x:c>
      <x:c r="B33" s="12" t="str">
        <x:v>Viga Metálica com Chapa de Ligação</x:v>
      </x:c>
      <x:c r="C33" s="12" t="str">
        <x:v>Metálicas e madeira</x:v>
      </x:c>
      <x:c r="D33" s="12" t="str">
        <x:v>Chapa, parafusos e ligação viga-pilar.</x:v>
      </x:c>
      <x:c r="E33" s="12" t="str">
        <x:v>Não iniciado</x:v>
      </x:c>
      <x:c r="F33" s="12" t="str">
        <x:v>Média</x:v>
      </x:c>
      <x:c r="G33" s="12" t="str"/>
      <x:c r="H33" s="26" t="str"/>
      <x:c r="I33" s="26" t="str"/>
      <x:c r="J33" s="12" t="str"/>
    </x:row>
    <x:row r="34">
      <x:c r="A34" s="12" t="str">
        <x:v>EST-33</x:v>
      </x:c>
      <x:c r="B34" s="12" t="str">
        <x:v>Pilar Metálico com Base Chumbada</x:v>
      </x:c>
      <x:c r="C34" s="12" t="str">
        <x:v>Metálicas e madeira</x:v>
      </x:c>
      <x:c r="D34" s="12" t="str">
        <x:v>Placa de base, chumbadores, graute e fundação.</x:v>
      </x:c>
      <x:c r="E34" s="12" t="str">
        <x:v>Não iniciado</x:v>
      </x:c>
      <x:c r="F34" s="12" t="str">
        <x:v>Média</x:v>
      </x:c>
      <x:c r="G34" s="12" t="str"/>
      <x:c r="H34" s="26" t="str"/>
      <x:c r="I34" s="26" t="str"/>
      <x:c r="J34" s="12" t="str"/>
    </x:row>
    <x:row r="35">
      <x:c r="A35" s="12" t="str">
        <x:v>EST-34</x:v>
      </x:c>
      <x:c r="B35" s="12" t="str">
        <x:v>Tesoura Metálica para Cobertura</x:v>
      </x:c>
      <x:c r="C35" s="12" t="str">
        <x:v>Metálicas e madeira</x:v>
      </x:c>
      <x:c r="D35" s="12" t="str">
        <x:v>Banzos, diagonais, montantes, apoios e terças.</x:v>
      </x:c>
      <x:c r="E35" s="12" t="str">
        <x:v>Não iniciado</x:v>
      </x:c>
      <x:c r="F35" s="12" t="str">
        <x:v>Média</x:v>
      </x:c>
      <x:c r="G35" s="12" t="str"/>
      <x:c r="H35" s="26" t="str"/>
      <x:c r="I35" s="26" t="str"/>
      <x:c r="J35" s="12" t="str"/>
    </x:row>
    <x:row r="36">
      <x:c r="A36" s="12" t="str">
        <x:v>EST-35</x:v>
      </x:c>
      <x:c r="B36" s="12" t="str">
        <x:v>Estrutura de Madeira para Cobertura</x:v>
      </x:c>
      <x:c r="C36" s="12" t="str">
        <x:v>Metálicas e madeira</x:v>
      </x:c>
      <x:c r="D36" s="12" t="str">
        <x:v>Terças, caibros, ripas e apoios conceituais.</x:v>
      </x:c>
      <x:c r="E36" s="12" t="str">
        <x:v>Não iniciado</x:v>
      </x:c>
      <x:c r="F36" s="12" t="str">
        <x:v>Média</x:v>
      </x:c>
      <x:c r="G36" s="12" t="str"/>
      <x:c r="H36" s="26" t="str"/>
      <x:c r="I36" s="26" t="str"/>
      <x:c r="J36" s="12" t="str"/>
    </x:row>
    <x:row r="37">
      <x:c r="A37" s="12" t="str">
        <x:v>EST-36</x:v>
      </x:c>
      <x:c r="B37" s="12" t="str">
        <x:v>Mapa de Fissuras em Viga</x:v>
      </x:c>
      <x:c r="C37" s="12" t="str">
        <x:v>Patologias</x:v>
      </x:c>
      <x:c r="D37" s="12" t="str">
        <x:v>Registro visual de fissuras, classificação inicial e alerta técnico.</x:v>
      </x:c>
      <x:c r="E37" s="12" t="str">
        <x:v>Não iniciado</x:v>
      </x:c>
      <x:c r="F37" s="12" t="str">
        <x:v>Média</x:v>
      </x:c>
      <x:c r="G37" s="12" t="str"/>
      <x:c r="H37" s="26" t="str"/>
      <x:c r="I37" s="26" t="str"/>
      <x:c r="J37" s="12" t="str"/>
    </x:row>
    <x:row r="38">
      <x:c r="A38" s="12" t="str">
        <x:v>EST-37</x:v>
      </x:c>
      <x:c r="B38" s="12" t="str">
        <x:v>Trinca em Pilar - Registro Visual</x:v>
      </x:c>
      <x:c r="C38" s="12" t="str">
        <x:v>Patologias</x:v>
      </x:c>
      <x:c r="D38" s="12" t="str">
        <x:v>Mapa de danos em pilar e ficha de observação.</x:v>
      </x:c>
      <x:c r="E38" s="12" t="str">
        <x:v>Não iniciado</x:v>
      </x:c>
      <x:c r="F38" s="12" t="str">
        <x:v>Média</x:v>
      </x:c>
      <x:c r="G38" s="12" t="str"/>
      <x:c r="H38" s="26" t="str"/>
      <x:c r="I38" s="26" t="str"/>
      <x:c r="J38" s="12" t="str"/>
    </x:row>
    <x:row r="39">
      <x:c r="A39" s="12" t="str">
        <x:v>EST-38</x:v>
      </x:c>
      <x:c r="B39" s="12" t="str">
        <x:v>Recalque Diferencial Conceitual</x:v>
      </x:c>
      <x:c r="C39" s="12" t="str">
        <x:v>Patologias</x:v>
      </x:c>
      <x:c r="D39" s="12" t="str">
        <x:v>Deslocamentos, fissuras associadas e necessidade de investigação.</x:v>
      </x:c>
      <x:c r="E39" s="12" t="str">
        <x:v>Não iniciado</x:v>
      </x:c>
      <x:c r="F39" s="12" t="str">
        <x:v>Média</x:v>
      </x:c>
      <x:c r="G39" s="12" t="str"/>
      <x:c r="H39" s="26" t="str"/>
      <x:c r="I39" s="26" t="str"/>
      <x:c r="J39" s="12" t="str"/>
    </x:row>
    <x:row r="40">
      <x:c r="A40" s="12" t="str">
        <x:v>EST-39</x:v>
      </x:c>
      <x:c r="B40" s="12" t="str">
        <x:v>Corrosão de Armadura em Laje</x:v>
      </x:c>
      <x:c r="C40" s="12" t="str">
        <x:v>Patologias</x:v>
      </x:c>
      <x:c r="D40" s="12" t="str">
        <x:v>Desplacamento, ferragem exposta e registro de risco.</x:v>
      </x:c>
      <x:c r="E40" s="12" t="str">
        <x:v>Não iniciado</x:v>
      </x:c>
      <x:c r="F40" s="12" t="str">
        <x:v>Média</x:v>
      </x:c>
      <x:c r="G40" s="12" t="str"/>
      <x:c r="H40" s="26" t="str"/>
      <x:c r="I40" s="26" t="str"/>
      <x:c r="J40" s="12" t="str"/>
    </x:row>
    <x:row r="41">
      <x:c r="A41" s="12" t="str">
        <x:v>EST-40</x:v>
      </x:c>
      <x:c r="B41" s="12" t="str">
        <x:v>Checklist de Vistoria Estrutural Inicial</x:v>
      </x:c>
      <x:c r="C41" s="12" t="str">
        <x:v>Patologias</x:v>
      </x:c>
      <x:c r="D41" s="12" t="str">
        <x:v>Roteiro não pericial para observação preliminar.</x:v>
      </x:c>
      <x:c r="E41" s="12" t="str">
        <x:v>Não iniciado</x:v>
      </x:c>
      <x:c r="F41" s="12" t="str">
        <x:v>Média</x:v>
      </x:c>
      <x:c r="G41" s="12" t="str"/>
      <x:c r="H41" s="26" t="str"/>
      <x:c r="I41" s="26" t="str"/>
      <x:c r="J41" s="12" t="str"/>
    </x:row>
    <x:row r="42">
      <x:c r="A42" s="12" t="str">
        <x:v>EST-41</x:v>
      </x:c>
      <x:c r="B42" s="12" t="str">
        <x:v>Compatibilização Pilar x Arquitetura</x:v>
      </x:c>
      <x:c r="C42" s="12" t="str">
        <x:v>Compatibilização</x:v>
      </x:c>
      <x:c r="D42" s="12" t="str">
        <x:v>Conflito com portas, vagas, circulação e layout.</x:v>
      </x:c>
      <x:c r="E42" s="12" t="str">
        <x:v>Não iniciado</x:v>
      </x:c>
      <x:c r="F42" s="12" t="str">
        <x:v>Média</x:v>
      </x:c>
      <x:c r="G42" s="12" t="str"/>
      <x:c r="H42" s="26" t="str"/>
      <x:c r="I42" s="26" t="str"/>
      <x:c r="J42" s="12" t="str"/>
    </x:row>
    <x:row r="43">
      <x:c r="A43" s="12" t="str">
        <x:v>EST-42</x:v>
      </x:c>
      <x:c r="B43" s="12" t="str">
        <x:v>Compatibilização Viga x Forro</x:v>
      </x:c>
      <x:c r="C43" s="12" t="str">
        <x:v>Compatibilização</x:v>
      </x:c>
      <x:c r="D43" s="12" t="str">
        <x:v>Altura livre, passagem de instalações e interferências.</x:v>
      </x:c>
      <x:c r="E43" s="12" t="str">
        <x:v>Não iniciado</x:v>
      </x:c>
      <x:c r="F43" s="12" t="str">
        <x:v>Média</x:v>
      </x:c>
      <x:c r="G43" s="12" t="str"/>
      <x:c r="H43" s="26" t="str"/>
      <x:c r="I43" s="26" t="str"/>
      <x:c r="J43" s="12" t="str"/>
    </x:row>
    <x:row r="44">
      <x:c r="A44" s="12" t="str">
        <x:v>EST-43</x:v>
      </x:c>
      <x:c r="B44" s="12" t="str">
        <x:v>Shaft Técnico atravessando Laje</x:v>
      </x:c>
      <x:c r="C44" s="12" t="str">
        <x:v>Compatibilização</x:v>
      </x:c>
      <x:c r="D44" s="12" t="str">
        <x:v>Abertura, borda de laje e passagem vertical.</x:v>
      </x:c>
      <x:c r="E44" s="12" t="str">
        <x:v>Não iniciado</x:v>
      </x:c>
      <x:c r="F44" s="12" t="str">
        <x:v>Média</x:v>
      </x:c>
      <x:c r="G44" s="12" t="str"/>
      <x:c r="H44" s="26" t="str"/>
      <x:c r="I44" s="26" t="str"/>
      <x:c r="J44" s="12" t="str"/>
    </x:row>
    <x:row r="45">
      <x:c r="A45" s="12" t="str">
        <x:v>EST-44</x:v>
      </x:c>
      <x:c r="B45" s="12" t="str">
        <x:v>Interferência Hidráulica em Viga</x:v>
      </x:c>
      <x:c r="C45" s="12" t="str">
        <x:v>Compatibilização</x:v>
      </x:c>
      <x:c r="D45" s="12" t="str">
        <x:v>Furo indevido, rota alternativa e alerta técnico.</x:v>
      </x:c>
      <x:c r="E45" s="12" t="str">
        <x:v>Não iniciado</x:v>
      </x:c>
      <x:c r="F45" s="12" t="str">
        <x:v>Média</x:v>
      </x:c>
      <x:c r="G45" s="12" t="str"/>
      <x:c r="H45" s="26" t="str"/>
      <x:c r="I45" s="26" t="str"/>
      <x:c r="J45" s="12" t="str"/>
    </x:row>
    <x:row r="46">
      <x:c r="A46" s="12" t="str">
        <x:v>EST-45</x:v>
      </x:c>
      <x:c r="B46" s="12" t="str">
        <x:v>Mapa de Conflitos Estruturais</x:v>
      </x:c>
      <x:c r="C46" s="12" t="str">
        <x:v>Compatibilização</x:v>
      </x:c>
      <x:c r="D46" s="12" t="str">
        <x:v>Quadro de conflitos entre disciplinas.</x:v>
      </x:c>
      <x:c r="E46" s="12" t="str">
        <x:v>Não iniciado</x:v>
      </x:c>
      <x:c r="F46" s="12" t="str">
        <x:v>Média</x:v>
      </x:c>
      <x:c r="G46" s="12" t="str"/>
      <x:c r="H46" s="26" t="str"/>
      <x:c r="I46" s="26" t="str"/>
      <x:c r="J46" s="12" t="str"/>
    </x:row>
    <x:row r="47">
      <x:c r="A47" s="12" t="str">
        <x:v>EST-46</x:v>
      </x:c>
      <x:c r="B47" s="12" t="str">
        <x:v>Planta Estrutural Residencial Modelo</x:v>
      </x:c>
      <x:c r="C47" s="12" t="str">
        <x:v>Pranchas finais</x:v>
      </x:c>
      <x:c r="D47" s="12" t="str">
        <x:v>Planta integrada de pilares, vigas, lajes e fundações.</x:v>
      </x:c>
      <x:c r="E47" s="12" t="str">
        <x:v>Não iniciado</x:v>
      </x:c>
      <x:c r="F47" s="12" t="str">
        <x:v>Média</x:v>
      </x:c>
      <x:c r="G47" s="12" t="str"/>
      <x:c r="H47" s="26" t="str"/>
      <x:c r="I47" s="26" t="str"/>
      <x:c r="J47" s="12" t="str"/>
    </x:row>
    <x:row r="48">
      <x:c r="A48" s="12" t="str">
        <x:v>EST-47</x:v>
      </x:c>
      <x:c r="B48" s="12" t="str">
        <x:v>Cortes Estruturais Integrados</x:v>
      </x:c>
      <x:c r="C48" s="12" t="str">
        <x:v>Pranchas finais</x:v>
      </x:c>
      <x:c r="D48" s="12" t="str">
        <x:v>Cortes mostrando estrutura do solo à cobertura.</x:v>
      </x:c>
      <x:c r="E48" s="12" t="str">
        <x:v>Não iniciado</x:v>
      </x:c>
      <x:c r="F48" s="12" t="str">
        <x:v>Média</x:v>
      </x:c>
      <x:c r="G48" s="12" t="str"/>
      <x:c r="H48" s="26" t="str"/>
      <x:c r="I48" s="26" t="str"/>
      <x:c r="J48" s="12" t="str"/>
    </x:row>
    <x:row r="49">
      <x:c r="A49" s="12" t="str">
        <x:v>EST-48</x:v>
      </x:c>
      <x:c r="B49" s="12" t="str">
        <x:v>Detalhamento Geral de Elementos Estruturais</x:v>
      </x:c>
      <x:c r="C49" s="12" t="str">
        <x:v>Pranchas finais</x:v>
      </x:c>
      <x:c r="D49" s="12" t="str">
        <x:v>Prancha resumo com detalhes típicos didáticos.</x:v>
      </x:c>
      <x:c r="E49" s="12" t="str">
        <x:v>Não iniciado</x:v>
      </x:c>
      <x:c r="F49" s="12" t="str">
        <x:v>Média</x:v>
      </x:c>
      <x:c r="G49" s="12" t="str"/>
      <x:c r="H49" s="26" t="str"/>
      <x:c r="I49" s="26" t="str"/>
      <x:c r="J49" s="12" t="str"/>
    </x:row>
    <x:row r="50">
      <x:c r="A50" s="12" t="str">
        <x:v>EST-49</x:v>
      </x:c>
      <x:c r="B50" s="12" t="str">
        <x:v>Quadro de Quantitativos Estruturais</x:v>
      </x:c>
      <x:c r="C50" s="12" t="str">
        <x:v>Pranchas finais</x:v>
      </x:c>
      <x:c r="D50" s="12" t="str">
        <x:v>Quadro de concreto, aço, forma e observações.</x:v>
      </x:c>
      <x:c r="E50" s="12" t="str">
        <x:v>Não iniciado</x:v>
      </x:c>
      <x:c r="F50" s="12" t="str">
        <x:v>Média</x:v>
      </x:c>
      <x:c r="G50" s="12" t="str"/>
      <x:c r="H50" s="26" t="str"/>
      <x:c r="I50" s="26" t="str"/>
      <x:c r="J50" s="12" t="str"/>
    </x:row>
    <x:row r="51">
      <x:c r="A51" s="12" t="str">
        <x:v>EST-50</x:v>
      </x:c>
      <x:c r="B51" s="12" t="str">
        <x:v>Dossiê Estrutural Conceitual para Estudo</x:v>
      </x:c>
      <x:c r="C51" s="12" t="str">
        <x:v>Pranchas finais</x:v>
      </x:c>
      <x:c r="D51" s="12" t="str">
        <x:v>Documento consolidado para apresentação educacional.</x:v>
      </x:c>
      <x:c r="E51" s="12" t="str">
        <x:v>Não iniciado</x:v>
      </x:c>
      <x:c r="F51" s="12" t="str">
        <x:v>Média</x:v>
      </x:c>
      <x:c r="G51" s="12" t="str"/>
      <x:c r="H51" s="26" t="str"/>
      <x:c r="I51" s="26" t="str"/>
      <x:c r="J51" s="12" t="str"/>
    </x:row>
    <x:row r="52">
      <x:c r="H52" s="27"/>
      <x:c r="I52" s="27"/>
    </x:row>
    <x:row r="53">
      <x:c r="H53" s="27"/>
      <x:c r="I53" s="27"/>
    </x:row>
    <x:row r="54">
      <x:c r="H54" s="27"/>
      <x:c r="I54" s="27"/>
    </x:row>
    <x:row r="55">
      <x:c r="H55" s="27"/>
      <x:c r="I55" s="27"/>
    </x:row>
    <x:row r="56">
      <x:c r="H56" s="27"/>
      <x:c r="I56" s="27"/>
    </x:row>
    <x:row r="57">
      <x:c r="H57" s="27"/>
      <x:c r="I57" s="27"/>
    </x:row>
    <x:row r="58">
      <x:c r="H58" s="27"/>
      <x:c r="I58" s="27"/>
    </x:row>
    <x:row r="59">
      <x:c r="H59" s="27"/>
      <x:c r="I59" s="27"/>
    </x:row>
    <x:row r="60">
      <x:c r="H60" s="27"/>
      <x:c r="I60" s="27"/>
    </x:row>
    <x:row r="61">
      <x:c r="H61" s="27"/>
      <x:c r="I61" s="27"/>
    </x:row>
    <x:row r="62">
      <x:c r="H62" s="27"/>
      <x:c r="I62" s="27"/>
    </x:row>
    <x:row r="63">
      <x:c r="H63" s="27"/>
      <x:c r="I63" s="27"/>
    </x:row>
    <x:row r="64">
      <x:c r="H64" s="27"/>
      <x:c r="I64" s="27"/>
    </x:row>
    <x:row r="65">
      <x:c r="H65" s="27"/>
      <x:c r="I65" s="27"/>
    </x:row>
    <x:row r="66">
      <x:c r="H66" s="27"/>
      <x:c r="I66" s="27"/>
    </x:row>
    <x:row r="67">
      <x:c r="H67" s="27"/>
      <x:c r="I67" s="27"/>
    </x:row>
    <x:row r="68">
      <x:c r="H68" s="27"/>
      <x:c r="I68" s="27"/>
    </x:row>
    <x:row r="69">
      <x:c r="H69" s="27"/>
      <x:c r="I69" s="27"/>
    </x:row>
    <x:row r="70">
      <x:c r="H70" s="27"/>
      <x:c r="I70" s="27"/>
    </x:row>
    <x:row r="71">
      <x:c r="H71" s="27"/>
      <x:c r="I71" s="27"/>
    </x:row>
    <x:row r="72">
      <x:c r="H72" s="27"/>
      <x:c r="I72" s="27"/>
    </x:row>
    <x:row r="73">
      <x:c r="H73" s="27"/>
      <x:c r="I73" s="27"/>
    </x:row>
    <x:row r="74">
      <x:c r="H74" s="27"/>
      <x:c r="I74" s="27"/>
    </x:row>
    <x:row r="75">
      <x:c r="H75" s="27"/>
      <x:c r="I75" s="27"/>
    </x:row>
    <x:row r="76">
      <x:c r="H76" s="27"/>
      <x:c r="I76" s="27"/>
    </x:row>
    <x:row r="77">
      <x:c r="H77" s="27"/>
      <x:c r="I77" s="27"/>
    </x:row>
    <x:row r="78">
      <x:c r="H78" s="27"/>
      <x:c r="I78" s="27"/>
    </x:row>
    <x:row r="79">
      <x:c r="H79" s="27"/>
      <x:c r="I79" s="27"/>
    </x:row>
    <x:row r="80">
      <x:c r="H80" s="27"/>
      <x:c r="I80" s="27"/>
    </x:row>
    <x:row r="81">
      <x:c r="H81" s="27"/>
      <x:c r="I81" s="27"/>
    </x:row>
    <x:row r="82">
      <x:c r="H82" s="27"/>
      <x:c r="I82" s="27"/>
    </x:row>
    <x:row r="83">
      <x:c r="H83" s="27"/>
      <x:c r="I83" s="27"/>
    </x:row>
    <x:row r="84">
      <x:c r="H84" s="27"/>
      <x:c r="I84" s="27"/>
    </x:row>
    <x:row r="85">
      <x:c r="H85" s="27"/>
      <x:c r="I85" s="27"/>
    </x:row>
    <x:row r="86">
      <x:c r="H86" s="27"/>
      <x:c r="I86" s="27"/>
    </x:row>
    <x:row r="87">
      <x:c r="H87" s="27"/>
      <x:c r="I87" s="27"/>
    </x:row>
    <x:row r="88">
      <x:c r="H88" s="27"/>
      <x:c r="I88" s="27"/>
    </x:row>
    <x:row r="89">
      <x:c r="H89" s="27"/>
      <x:c r="I89" s="27"/>
    </x:row>
    <x:row r="90">
      <x:c r="H90" s="27"/>
      <x:c r="I90" s="27"/>
    </x:row>
    <x:row r="91">
      <x:c r="H91" s="27"/>
      <x:c r="I91" s="27"/>
    </x:row>
    <x:row r="92">
      <x:c r="H92" s="27"/>
      <x:c r="I92" s="27"/>
    </x:row>
    <x:row r="93">
      <x:c r="H93" s="27"/>
      <x:c r="I93" s="27"/>
    </x:row>
    <x:row r="94">
      <x:c r="H94" s="27"/>
      <x:c r="I94" s="27"/>
    </x:row>
    <x:row r="95">
      <x:c r="H95" s="27"/>
      <x:c r="I95" s="27"/>
    </x:row>
    <x:row r="96">
      <x:c r="H96" s="27"/>
      <x:c r="I96" s="27"/>
    </x:row>
    <x:row r="97">
      <x:c r="H97" s="27"/>
      <x:c r="I97" s="27"/>
    </x:row>
    <x:row r="98">
      <x:c r="H98" s="27"/>
      <x:c r="I98" s="27"/>
    </x:row>
    <x:row r="99">
      <x:c r="H99" s="27"/>
      <x:c r="I99" s="27"/>
    </x:row>
    <x:row r="100">
      <x:c r="H100" s="27"/>
      <x:c r="I100" s="27"/>
    </x:row>
    <x:row r="101">
      <x:c r="H101" s="27"/>
      <x:c r="I101" s="27"/>
    </x:row>
    <x:row r="102">
      <x:c r="H102" s="27"/>
      <x:c r="I102" s="27"/>
    </x:row>
    <x:row r="103">
      <x:c r="H103" s="27"/>
      <x:c r="I103" s="27"/>
    </x:row>
    <x:row r="104">
      <x:c r="H104" s="27"/>
      <x:c r="I104" s="27"/>
    </x:row>
    <x:row r="105">
      <x:c r="H105" s="27"/>
      <x:c r="I105" s="27"/>
    </x:row>
    <x:row r="106">
      <x:c r="H106" s="27"/>
      <x:c r="I106" s="27"/>
    </x:row>
    <x:row r="107">
      <x:c r="H107" s="27"/>
      <x:c r="I107" s="27"/>
    </x:row>
    <x:row r="108">
      <x:c r="H108" s="27"/>
      <x:c r="I108" s="27"/>
    </x:row>
    <x:row r="109">
      <x:c r="H109" s="27"/>
      <x:c r="I109" s="27"/>
    </x:row>
    <x:row r="110">
      <x:c r="H110" s="27"/>
      <x:c r="I110" s="27"/>
    </x:row>
    <x:row r="111">
      <x:c r="H111" s="27"/>
      <x:c r="I111" s="27"/>
    </x:row>
    <x:row r="112">
      <x:c r="H112" s="27"/>
      <x:c r="I112" s="27"/>
    </x:row>
    <x:row r="113">
      <x:c r="H113" s="27"/>
      <x:c r="I113" s="27"/>
    </x:row>
    <x:row r="114">
      <x:c r="H114" s="27"/>
      <x:c r="I114" s="27"/>
    </x:row>
    <x:row r="115">
      <x:c r="H115" s="27"/>
      <x:c r="I115" s="27"/>
    </x:row>
    <x:row r="116">
      <x:c r="H116" s="27"/>
      <x:c r="I116" s="27"/>
    </x:row>
    <x:row r="117">
      <x:c r="H117" s="27"/>
      <x:c r="I117" s="27"/>
    </x:row>
    <x:row r="118">
      <x:c r="H118" s="27"/>
      <x:c r="I118" s="27"/>
    </x:row>
    <x:row r="119">
      <x:c r="H119" s="27"/>
      <x:c r="I119" s="27"/>
    </x:row>
    <x:row r="120">
      <x:c r="H120" s="27"/>
      <x:c r="I120" s="27"/>
    </x:row>
    <x:row r="121">
      <x:c r="H121" s="27"/>
      <x:c r="I121" s="27"/>
    </x:row>
    <x:row r="122">
      <x:c r="H122" s="27"/>
      <x:c r="I122" s="27"/>
    </x:row>
    <x:row r="123">
      <x:c r="H123" s="27"/>
      <x:c r="I123" s="27"/>
    </x:row>
    <x:row r="124">
      <x:c r="H124" s="27"/>
      <x:c r="I124" s="27"/>
    </x:row>
    <x:row r="125">
      <x:c r="H125" s="27"/>
      <x:c r="I125" s="27"/>
    </x:row>
    <x:row r="126">
      <x:c r="H126" s="27"/>
      <x:c r="I126" s="27"/>
    </x:row>
    <x:row r="127">
      <x:c r="H127" s="27"/>
      <x:c r="I127" s="27"/>
    </x:row>
    <x:row r="128">
      <x:c r="H128" s="27"/>
      <x:c r="I128" s="27"/>
    </x:row>
    <x:row r="129">
      <x:c r="H129" s="27"/>
      <x:c r="I129" s="27"/>
    </x:row>
    <x:row r="130">
      <x:c r="H130" s="27"/>
      <x:c r="I130" s="27"/>
    </x:row>
    <x:row r="131">
      <x:c r="H131" s="27"/>
      <x:c r="I131" s="27"/>
    </x:row>
    <x:row r="132">
      <x:c r="H132" s="27"/>
      <x:c r="I132" s="27"/>
    </x:row>
    <x:row r="133">
      <x:c r="H133" s="27"/>
      <x:c r="I133" s="27"/>
    </x:row>
    <x:row r="134">
      <x:c r="H134" s="27"/>
      <x:c r="I134" s="27"/>
    </x:row>
    <x:row r="135">
      <x:c r="H135" s="27"/>
      <x:c r="I135" s="27"/>
    </x:row>
    <x:row r="136">
      <x:c r="H136" s="27"/>
      <x:c r="I136" s="27"/>
    </x:row>
    <x:row r="137">
      <x:c r="H137" s="27"/>
      <x:c r="I137" s="27"/>
    </x:row>
    <x:row r="138">
      <x:c r="H138" s="27"/>
      <x:c r="I138" s="27"/>
    </x:row>
    <x:row r="139">
      <x:c r="H139" s="27"/>
      <x:c r="I139" s="27"/>
    </x:row>
    <x:row r="140">
      <x:c r="H140" s="27"/>
      <x:c r="I140" s="27"/>
    </x:row>
    <x:row r="141">
      <x:c r="H141" s="27"/>
      <x:c r="I141" s="27"/>
    </x:row>
    <x:row r="142">
      <x:c r="H142" s="27"/>
      <x:c r="I142" s="27"/>
    </x:row>
    <x:row r="143">
      <x:c r="H143" s="27"/>
      <x:c r="I143" s="27"/>
    </x:row>
    <x:row r="144">
      <x:c r="H144" s="27"/>
      <x:c r="I144" s="27"/>
    </x:row>
    <x:row r="145">
      <x:c r="H145" s="27"/>
      <x:c r="I145" s="27"/>
    </x:row>
    <x:row r="146">
      <x:c r="H146" s="27"/>
      <x:c r="I146" s="27"/>
    </x:row>
    <x:row r="147">
      <x:c r="H147" s="27"/>
      <x:c r="I147" s="27"/>
    </x:row>
    <x:row r="148">
      <x:c r="H148" s="27"/>
      <x:c r="I148" s="27"/>
    </x:row>
    <x:row r="149">
      <x:c r="H149" s="27"/>
      <x:c r="I149" s="27"/>
    </x:row>
    <x:row r="150">
      <x:c r="H150" s="27"/>
      <x:c r="I150" s="27"/>
    </x:row>
    <x:row r="151">
      <x:c r="H151" s="27"/>
      <x:c r="I151" s="27"/>
    </x:row>
    <x:row r="152">
      <x:c r="H152" s="27"/>
      <x:c r="I152" s="27"/>
    </x:row>
    <x:row r="153">
      <x:c r="H153" s="27"/>
      <x:c r="I153" s="27"/>
    </x:row>
    <x:row r="154">
      <x:c r="H154" s="27"/>
      <x:c r="I154" s="27"/>
    </x:row>
    <x:row r="155">
      <x:c r="H155" s="27"/>
      <x:c r="I155" s="27"/>
    </x:row>
    <x:row r="156">
      <x:c r="H156" s="27"/>
      <x:c r="I156" s="27"/>
    </x:row>
    <x:row r="157">
      <x:c r="H157" s="27"/>
      <x:c r="I157" s="27"/>
    </x:row>
    <x:row r="158">
      <x:c r="H158" s="27"/>
      <x:c r="I158" s="27"/>
    </x:row>
    <x:row r="159">
      <x:c r="H159" s="27"/>
      <x:c r="I159" s="27"/>
    </x:row>
    <x:row r="160">
      <x:c r="H160" s="27"/>
      <x:c r="I160" s="27"/>
    </x:row>
    <x:row r="161">
      <x:c r="H161" s="27"/>
      <x:c r="I161" s="27"/>
    </x:row>
    <x:row r="162">
      <x:c r="H162" s="27"/>
      <x:c r="I162" s="27"/>
    </x:row>
    <x:row r="163">
      <x:c r="H163" s="27"/>
      <x:c r="I163" s="27"/>
    </x:row>
    <x:row r="164">
      <x:c r="H164" s="27"/>
      <x:c r="I164" s="27"/>
    </x:row>
    <x:row r="165">
      <x:c r="H165" s="27"/>
      <x:c r="I165" s="27"/>
    </x:row>
    <x:row r="166">
      <x:c r="H166" s="27"/>
      <x:c r="I166" s="27"/>
    </x:row>
    <x:row r="167">
      <x:c r="H167" s="27"/>
      <x:c r="I167" s="27"/>
    </x:row>
    <x:row r="168">
      <x:c r="H168" s="27"/>
      <x:c r="I168" s="27"/>
    </x:row>
    <x:row r="169">
      <x:c r="H169" s="27"/>
      <x:c r="I169" s="27"/>
    </x:row>
    <x:row r="170">
      <x:c r="H170" s="27"/>
      <x:c r="I170" s="27"/>
    </x:row>
    <x:row r="171">
      <x:c r="H171" s="27"/>
      <x:c r="I171" s="27"/>
    </x:row>
    <x:row r="172">
      <x:c r="H172" s="27"/>
      <x:c r="I172" s="27"/>
    </x:row>
    <x:row r="173">
      <x:c r="H173" s="27"/>
      <x:c r="I173" s="27"/>
    </x:row>
    <x:row r="174">
      <x:c r="H174" s="27"/>
      <x:c r="I174" s="27"/>
    </x:row>
    <x:row r="175">
      <x:c r="H175" s="27"/>
      <x:c r="I175" s="27"/>
    </x:row>
    <x:row r="176">
      <x:c r="H176" s="27"/>
      <x:c r="I176" s="27"/>
    </x:row>
    <x:row r="177">
      <x:c r="H177" s="27"/>
      <x:c r="I177" s="27"/>
    </x:row>
    <x:row r="178">
      <x:c r="H178" s="27"/>
      <x:c r="I178" s="27"/>
    </x:row>
    <x:row r="179">
      <x:c r="H179" s="27"/>
      <x:c r="I179" s="27"/>
    </x:row>
    <x:row r="180">
      <x:c r="H180" s="27"/>
      <x:c r="I180" s="27"/>
    </x:row>
    <x:row r="181">
      <x:c r="H181" s="27"/>
      <x:c r="I181" s="27"/>
    </x:row>
    <x:row r="182">
      <x:c r="H182" s="27"/>
      <x:c r="I182" s="27"/>
    </x:row>
    <x:row r="183">
      <x:c r="H183" s="27"/>
      <x:c r="I183" s="27"/>
    </x:row>
    <x:row r="184">
      <x:c r="H184" s="27"/>
      <x:c r="I184" s="27"/>
    </x:row>
    <x:row r="185">
      <x:c r="H185" s="27"/>
      <x:c r="I185" s="27"/>
    </x:row>
    <x:row r="186">
      <x:c r="H186" s="27"/>
      <x:c r="I186" s="27"/>
    </x:row>
    <x:row r="187">
      <x:c r="H187" s="27"/>
      <x:c r="I187" s="27"/>
    </x:row>
    <x:row r="188">
      <x:c r="H188" s="27"/>
      <x:c r="I188" s="27"/>
    </x:row>
    <x:row r="189">
      <x:c r="H189" s="27"/>
      <x:c r="I189" s="27"/>
    </x:row>
    <x:row r="190">
      <x:c r="H190" s="27"/>
      <x:c r="I190" s="27"/>
    </x:row>
    <x:row r="191">
      <x:c r="H191" s="27"/>
      <x:c r="I191" s="27"/>
    </x:row>
    <x:row r="192">
      <x:c r="H192" s="27"/>
      <x:c r="I192" s="27"/>
    </x:row>
    <x:row r="193">
      <x:c r="H193" s="27"/>
      <x:c r="I193" s="27"/>
    </x:row>
    <x:row r="194">
      <x:c r="H194" s="27"/>
      <x:c r="I194" s="27"/>
    </x:row>
    <x:row r="195">
      <x:c r="H195" s="27"/>
      <x:c r="I195" s="27"/>
    </x:row>
    <x:row r="196">
      <x:c r="H196" s="27"/>
      <x:c r="I196" s="27"/>
    </x:row>
    <x:row r="197">
      <x:c r="H197" s="27"/>
      <x:c r="I197" s="27"/>
    </x:row>
    <x:row r="198">
      <x:c r="H198" s="27"/>
      <x:c r="I198" s="27"/>
    </x:row>
    <x:row r="199">
      <x:c r="H199" s="27"/>
      <x:c r="I199" s="27"/>
    </x:row>
    <x:row r="200">
      <x:c r="H200" s="27"/>
      <x:c r="I200" s="27"/>
    </x:row>
  </x:sheetData>
  <x:dataValidations count="3">
    <x:dataValidation type="list" sqref="E2:E200">
      <x:formula1>Listas!$B$2:$B$6</x:formula1>
    </x:dataValidation>
    <x:dataValidation type="list" sqref="F2:F200">
      <x:formula1>Listas!$C$2:$C$5</x:formula1>
    </x:dataValidation>
    <x:dataValidation type="list" sqref="C2:C200">
      <x:formula1>Listas!$A$2:$A$11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a0b7c105fe4b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42" hidden="0" customWidth="1"/>
    <x:col min="9" max="9" width="22" hidden="0" customWidth="1"/>
    <x:col min="10" max="10" width="22" hidden="0" customWidth="1"/>
  </x:cols>
  <x:sheetData>
    <x:row r="1">
      <x:c r="A1" s="6" t="str">
        <x:v>ID</x:v>
      </x:c>
      <x:c r="B1" s="6" t="str">
        <x:v>Código</x:v>
      </x:c>
      <x:c r="C1" s="6" t="str">
        <x:v>Local</x:v>
      </x:c>
      <x:c r="D1" s="6" t="str">
        <x:v>Elemento estrutural</x:v>
      </x:c>
      <x:c r="E1" s="6" t="str">
        <x:v>Disciplina em conflito</x:v>
      </x:c>
      <x:c r="F1" s="6" t="str">
        <x:v>Descrição do conflito</x:v>
      </x:c>
      <x:c r="G1" s="6" t="str">
        <x:v>Impacto</x:v>
      </x:c>
      <x:c r="H1" s="6" t="str">
        <x:v>Ação recomendada</x:v>
      </x:c>
      <x:c r="I1" s="6" t="str">
        <x:v>Responsável</x:v>
      </x:c>
      <x:c r="J1" s="6" t="str">
        <x:v>Status</x:v>
      </x:c>
    </x:row>
    <x:row r="2">
      <x:c r="A2" s="12" t="str">
        <x:v>C-001</x:v>
      </x:c>
      <x:c r="B2" s="12" t="str">
        <x:v>EST-41</x:v>
      </x:c>
      <x:c r="C2" s="12" t="str">
        <x:v>Garagem</x:v>
      </x:c>
      <x:c r="D2" s="12" t="str">
        <x:v>Pilar</x:v>
      </x:c>
      <x:c r="E2" s="12" t="str">
        <x:v>Arquitetura</x:v>
      </x:c>
      <x:c r="F2" s="12" t="str">
        <x:v>Pilar interfere em vaga/circulação.</x:v>
      </x:c>
      <x:c r="G2" s="12" t="str">
        <x:v>Alto</x:v>
      </x:c>
      <x:c r="H2" s="12" t="str">
        <x:v>Reavaliar modulação estrutural com profissional habilitado.</x:v>
      </x:c>
      <x:c r="I2" s="12" t="str"/>
      <x:c r="J2" s="12" t="str">
        <x:v>Revisar</x:v>
      </x:c>
    </x:row>
    <x:row r="3">
      <x:c r="A3" s="12" t="str">
        <x:v>C-002</x:v>
      </x:c>
      <x:c r="B3" s="12" t="str">
        <x:v>EST-42</x:v>
      </x:c>
      <x:c r="C3" s="12" t="str">
        <x:v>Sala</x:v>
      </x:c>
      <x:c r="D3" s="12" t="str">
        <x:v>Viga</x:v>
      </x:c>
      <x:c r="E3" s="12" t="str">
        <x:v>Instalações</x:v>
      </x:c>
      <x:c r="F3" s="12" t="str">
        <x:v>Viga conflita com forro/rota de tubulação.</x:v>
      </x:c>
      <x:c r="G3" s="12" t="str">
        <x:v>Médio</x:v>
      </x:c>
      <x:c r="H3" s="12" t="str">
        <x:v>Criar rota alternativa ou revisar altura.</x:v>
      </x:c>
      <x:c r="I3" s="12" t="str"/>
      <x:c r="J3" s="12" t="str">
        <x:v>Não iniciado</x:v>
      </x:c>
    </x:row>
    <x:row r="4">
      <x:c r="A4" s="12" t="str">
        <x:v>C-003</x:v>
      </x:c>
      <x:c r="B4" s="12" t="str">
        <x:v>EST-44</x:v>
      </x:c>
      <x:c r="C4" s="12" t="str">
        <x:v>Banheiro</x:v>
      </x:c>
      <x:c r="D4" s="12" t="str">
        <x:v>Viga</x:v>
      </x:c>
      <x:c r="E4" s="12" t="str">
        <x:v>Hidráulica</x:v>
      </x:c>
      <x:c r="F4" s="12" t="str">
        <x:v>Tubulação prevista atravessando viga.</x:v>
      </x:c>
      <x:c r="G4" s="12" t="str">
        <x:v>Crítico</x:v>
      </x:c>
      <x:c r="H4" s="12" t="str">
        <x:v>Não furar sem avaliação estrutural. Redirecionar tubulação.</x:v>
      </x:c>
      <x:c r="I4" s="12" t="str"/>
      <x:c r="J4" s="12" t="str">
        <x:v>Pendente validação técnica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</x:sheetData>
  <x:dataValidations count="2">
    <x:dataValidation type="list" sqref="E2:E200">
      <x:formula1>Listas!$E$2:$E$8</x:formula1>
    </x:dataValidation>
    <x:dataValidation type="list" sqref="J2:J2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f9fd354e024e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6" t="str">
        <x:v>Código</x:v>
      </x:c>
      <x:c r="B1" s="6" t="str">
        <x:v>Título</x:v>
      </x:c>
      <x:c r="C1" s="6" t="str">
        <x:v>Categoria</x:v>
      </x:c>
      <x:c r="D1" s="6" t="str">
        <x:v>Prompt pronto?</x:v>
      </x:c>
      <x:c r="E1" s="6" t="str">
        <x:v>PNG</x:v>
      </x:c>
      <x:c r="F1" s="6" t="str">
        <x:v>PDF</x:v>
      </x:c>
      <x:c r="G1" s="6" t="str">
        <x:v>DXF/DWG</x:v>
      </x:c>
      <x:c r="H1" s="6" t="str">
        <x:v>Revisão visual</x:v>
      </x:c>
      <x:c r="I1" s="6" t="str">
        <x:v>Data prevista</x:v>
      </x:c>
      <x:c r="J1" s="6" t="str">
        <x:v>Responsável</x:v>
      </x:c>
      <x:c r="K1" s="6" t="str">
        <x:v>Observações</x:v>
      </x:c>
    </x:row>
    <x:row r="2">
      <x:c r="A2" s="12" t="str">
        <x:v>EST-01</x:v>
      </x:c>
      <x:c r="B2" s="12" t="str">
        <x:v>Viga Baldrame Residencial</x:v>
      </x:c>
      <x:c r="C2" s="12" t="str">
        <x:v>Vigas</x:v>
      </x:c>
      <x:c r="D2" s="12" t="str">
        <x:v>Sim</x:v>
      </x:c>
      <x:c r="E2" s="12" t="str">
        <x:v>Não</x:v>
      </x:c>
      <x:c r="F2" s="12" t="str">
        <x:v>Não</x:v>
      </x:c>
      <x:c r="G2" s="12" t="str">
        <x:v>Não</x:v>
      </x:c>
      <x:c r="H2" s="12" t="str">
        <x:v>Não iniciado</x:v>
      </x:c>
      <x:c r="I2" s="26" t="str"/>
      <x:c r="J2" s="12" t="str"/>
      <x:c r="K2" s="12" t="str"/>
    </x:row>
    <x:row r="3">
      <x:c r="A3" s="12" t="str">
        <x:v>EST-02</x:v>
      </x:c>
      <x:c r="B3" s="12" t="str">
        <x:v>Viga Aérea em Concreto Armado</x:v>
      </x:c>
      <x:c r="C3" s="12" t="str">
        <x:v>Vigas</x:v>
      </x:c>
      <x:c r="D3" s="12" t="str">
        <x:v>Sim</x:v>
      </x:c>
      <x:c r="E3" s="12" t="str">
        <x:v>Não</x:v>
      </x:c>
      <x:c r="F3" s="12" t="str">
        <x:v>Não</x:v>
      </x:c>
      <x:c r="G3" s="12" t="str">
        <x:v>Não</x:v>
      </x:c>
      <x:c r="H3" s="12" t="str">
        <x:v>Não iniciado</x:v>
      </x:c>
      <x:c r="I3" s="26" t="str"/>
      <x:c r="J3" s="12" t="str"/>
      <x:c r="K3" s="12" t="str"/>
    </x:row>
    <x:row r="4">
      <x:c r="A4" s="12" t="str">
        <x:v>EST-03</x:v>
      </x:c>
      <x:c r="B4" s="12" t="str">
        <x:v>Viga de Travamento entre Sapatas</x:v>
      </x:c>
      <x:c r="C4" s="12" t="str">
        <x:v>Vigas</x:v>
      </x:c>
      <x:c r="D4" s="12" t="str">
        <x:v>Sim</x:v>
      </x:c>
      <x:c r="E4" s="12" t="str">
        <x:v>Não</x:v>
      </x:c>
      <x:c r="F4" s="12" t="str">
        <x:v>Não</x:v>
      </x:c>
      <x:c r="G4" s="12" t="str">
        <x:v>Não</x:v>
      </x:c>
      <x:c r="H4" s="12" t="str">
        <x:v>Não iniciado</x:v>
      </x:c>
      <x:c r="I4" s="26" t="str"/>
      <x:c r="J4" s="12" t="str"/>
      <x:c r="K4" s="12" t="str"/>
    </x:row>
    <x:row r="5">
      <x:c r="A5" s="12" t="str">
        <x:v>EST-04</x:v>
      </x:c>
      <x:c r="B5" s="12" t="str">
        <x:v>Viga de Borda para Laje</x:v>
      </x:c>
      <x:c r="C5" s="12" t="str">
        <x:v>Vigas</x:v>
      </x:c>
      <x:c r="D5" s="12" t="str">
        <x:v>Sim</x:v>
      </x:c>
      <x:c r="E5" s="12" t="str">
        <x:v>Não</x:v>
      </x:c>
      <x:c r="F5" s="12" t="str">
        <x:v>Não</x:v>
      </x:c>
      <x:c r="G5" s="12" t="str">
        <x:v>Não</x:v>
      </x:c>
      <x:c r="H5" s="12" t="str">
        <x:v>Não iniciado</x:v>
      </x:c>
      <x:c r="I5" s="26" t="str"/>
      <x:c r="J5" s="12" t="str"/>
      <x:c r="K5" s="12" t="str"/>
    </x:row>
    <x:row r="6">
      <x:c r="A6" s="12" t="str">
        <x:v>EST-05</x:v>
      </x:c>
      <x:c r="B6" s="12" t="str">
        <x:v>Viga Invertida Conceitual</x:v>
      </x:c>
      <x:c r="C6" s="12" t="str">
        <x:v>Vigas</x:v>
      </x:c>
      <x:c r="D6" s="12" t="str">
        <x:v>Sim</x:v>
      </x:c>
      <x:c r="E6" s="12" t="str">
        <x:v>Não</x:v>
      </x:c>
      <x:c r="F6" s="12" t="str">
        <x:v>Não</x:v>
      </x:c>
      <x:c r="G6" s="12" t="str">
        <x:v>Não</x:v>
      </x:c>
      <x:c r="H6" s="12" t="str">
        <x:v>Não iniciado</x:v>
      </x:c>
      <x:c r="I6" s="26" t="str"/>
      <x:c r="J6" s="12" t="str"/>
      <x:c r="K6" s="12" t="str"/>
    </x:row>
    <x:row r="7">
      <x:c r="A7" s="12" t="str">
        <x:v>EST-06</x:v>
      </x:c>
      <x:c r="B7" s="12" t="str">
        <x:v>Pilar Residencial em Concreto Armado</x:v>
      </x:c>
      <x:c r="C7" s="12" t="str">
        <x:v>Pilares</x:v>
      </x:c>
      <x:c r="D7" s="12" t="str">
        <x:v>Sim</x:v>
      </x:c>
      <x:c r="E7" s="12" t="str">
        <x:v>Não</x:v>
      </x:c>
      <x:c r="F7" s="12" t="str">
        <x:v>Não</x:v>
      </x:c>
      <x:c r="G7" s="12" t="str">
        <x:v>Não</x:v>
      </x:c>
      <x:c r="H7" s="12" t="str">
        <x:v>Não iniciado</x:v>
      </x:c>
      <x:c r="I7" s="26" t="str"/>
      <x:c r="J7" s="12" t="str"/>
      <x:c r="K7" s="12" t="str"/>
    </x:row>
    <x:row r="8">
      <x:c r="A8" s="12" t="str">
        <x:v>EST-07</x:v>
      </x:c>
      <x:c r="B8" s="12" t="str">
        <x:v>Pilar de Canto com Vigas Conectadas</x:v>
      </x:c>
      <x:c r="C8" s="12" t="str">
        <x:v>Pilares</x:v>
      </x:c>
      <x:c r="D8" s="12" t="str">
        <x:v>Sim</x:v>
      </x:c>
      <x:c r="E8" s="12" t="str">
        <x:v>Não</x:v>
      </x:c>
      <x:c r="F8" s="12" t="str">
        <x:v>Não</x:v>
      </x:c>
      <x:c r="G8" s="12" t="str">
        <x:v>Não</x:v>
      </x:c>
      <x:c r="H8" s="12" t="str">
        <x:v>Não iniciado</x:v>
      </x:c>
      <x:c r="I8" s="26" t="str"/>
      <x:c r="J8" s="12" t="str"/>
      <x:c r="K8" s="12" t="str"/>
    </x:row>
    <x:row r="9">
      <x:c r="A9" s="12" t="str">
        <x:v>EST-08</x:v>
      </x:c>
      <x:c r="B9" s="12" t="str">
        <x:v>Pilar de Borda</x:v>
      </x:c>
      <x:c r="C9" s="12" t="str">
        <x:v>Pilares</x:v>
      </x:c>
      <x:c r="D9" s="12" t="str">
        <x:v>Sim</x:v>
      </x:c>
      <x:c r="E9" s="12" t="str">
        <x:v>Não</x:v>
      </x:c>
      <x:c r="F9" s="12" t="str">
        <x:v>Não</x:v>
      </x:c>
      <x:c r="G9" s="12" t="str">
        <x:v>Não</x:v>
      </x:c>
      <x:c r="H9" s="12" t="str">
        <x:v>Não iniciado</x:v>
      </x:c>
      <x:c r="I9" s="26" t="str"/>
      <x:c r="J9" s="12" t="str"/>
      <x:c r="K9" s="12" t="str"/>
    </x:row>
    <x:row r="10">
      <x:c r="A10" s="12" t="str">
        <x:v>EST-09</x:v>
      </x:c>
      <x:c r="B10" s="12" t="str">
        <x:v>Pilar-Parede Conceitual</x:v>
      </x:c>
      <x:c r="C10" s="12" t="str">
        <x:v>Pilares</x:v>
      </x:c>
      <x:c r="D10" s="12" t="str">
        <x:v>Sim</x:v>
      </x:c>
      <x:c r="E10" s="12" t="str">
        <x:v>Não</x:v>
      </x:c>
      <x:c r="F10" s="12" t="str">
        <x:v>Não</x:v>
      </x:c>
      <x:c r="G10" s="12" t="str">
        <x:v>Não</x:v>
      </x:c>
      <x:c r="H10" s="12" t="str">
        <x:v>Não iniciado</x:v>
      </x:c>
      <x:c r="I10" s="26" t="str"/>
      <x:c r="J10" s="12" t="str"/>
      <x:c r="K10" s="12" t="str"/>
    </x:row>
    <x:row r="11">
      <x:c r="A11" s="12" t="str">
        <x:v>EST-10</x:v>
      </x:c>
      <x:c r="B11" s="12" t="str">
        <x:v>Arranque de Pilar em Fundação</x:v>
      </x:c>
      <x:c r="C11" s="12" t="str">
        <x:v>Pilares</x:v>
      </x:c>
      <x:c r="D11" s="12" t="str">
        <x:v>Sim</x:v>
      </x:c>
      <x:c r="E11" s="12" t="str">
        <x:v>Não</x:v>
      </x:c>
      <x:c r="F11" s="12" t="str">
        <x:v>Não</x:v>
      </x:c>
      <x:c r="G11" s="12" t="str">
        <x:v>Não</x:v>
      </x:c>
      <x:c r="H11" s="12" t="str">
        <x:v>Não iniciado</x:v>
      </x:c>
      <x:c r="I11" s="26" t="str"/>
      <x:c r="J11" s="12" t="str"/>
      <x:c r="K11" s="12" t="str"/>
    </x:row>
    <x:row r="12">
      <x:c r="A12" s="12" t="str">
        <x:v>EST-11</x:v>
      </x:c>
      <x:c r="B12" s="12" t="str">
        <x:v>Laje Maciça Unidirecional</x:v>
      </x:c>
      <x:c r="C12" s="12" t="str">
        <x:v>Lajes</x:v>
      </x:c>
      <x:c r="D12" s="12" t="str">
        <x:v>Sim</x:v>
      </x:c>
      <x:c r="E12" s="12" t="str">
        <x:v>Não</x:v>
      </x:c>
      <x:c r="F12" s="12" t="str">
        <x:v>Não</x:v>
      </x:c>
      <x:c r="G12" s="12" t="str">
        <x:v>Não</x:v>
      </x:c>
      <x:c r="H12" s="12" t="str">
        <x:v>Não iniciado</x:v>
      </x:c>
      <x:c r="I12" s="26" t="str"/>
      <x:c r="J12" s="12" t="str"/>
      <x:c r="K12" s="12" t="str"/>
    </x:row>
    <x:row r="13">
      <x:c r="A13" s="12" t="str">
        <x:v>EST-12</x:v>
      </x:c>
      <x:c r="B13" s="12" t="str">
        <x:v>Laje Maciça Bidirecional</x:v>
      </x:c>
      <x:c r="C13" s="12" t="str">
        <x:v>Lajes</x:v>
      </x:c>
      <x:c r="D13" s="12" t="str">
        <x:v>Sim</x:v>
      </x:c>
      <x:c r="E13" s="12" t="str">
        <x:v>Não</x:v>
      </x:c>
      <x:c r="F13" s="12" t="str">
        <x:v>Não</x:v>
      </x:c>
      <x:c r="G13" s="12" t="str">
        <x:v>Não</x:v>
      </x:c>
      <x:c r="H13" s="12" t="str">
        <x:v>Não iniciado</x:v>
      </x:c>
      <x:c r="I13" s="26" t="str"/>
      <x:c r="J13" s="12" t="str"/>
      <x:c r="K13" s="12" t="str"/>
    </x:row>
    <x:row r="14">
      <x:c r="A14" s="12" t="str">
        <x:v>EST-13</x:v>
      </x:c>
      <x:c r="B14" s="12" t="str">
        <x:v>Laje Treliçada com Enchimento</x:v>
      </x:c>
      <x:c r="C14" s="12" t="str">
        <x:v>Lajes</x:v>
      </x:c>
      <x:c r="D14" s="12" t="str">
        <x:v>Sim</x:v>
      </x:c>
      <x:c r="E14" s="12" t="str">
        <x:v>Não</x:v>
      </x:c>
      <x:c r="F14" s="12" t="str">
        <x:v>Não</x:v>
      </x:c>
      <x:c r="G14" s="12" t="str">
        <x:v>Não</x:v>
      </x:c>
      <x:c r="H14" s="12" t="str">
        <x:v>Não iniciado</x:v>
      </x:c>
      <x:c r="I14" s="26" t="str"/>
      <x:c r="J14" s="12" t="str"/>
      <x:c r="K14" s="12" t="str"/>
    </x:row>
    <x:row r="15">
      <x:c r="A15" s="12" t="str">
        <x:v>EST-14</x:v>
      </x:c>
      <x:c r="B15" s="12" t="str">
        <x:v>Laje em Balanço para Sacada</x:v>
      </x:c>
      <x:c r="C15" s="12" t="str">
        <x:v>Lajes</x:v>
      </x:c>
      <x:c r="D15" s="12" t="str">
        <x:v>Sim</x:v>
      </x:c>
      <x:c r="E15" s="12" t="str">
        <x:v>Não</x:v>
      </x:c>
      <x:c r="F15" s="12" t="str">
        <x:v>Não</x:v>
      </x:c>
      <x:c r="G15" s="12" t="str">
        <x:v>Não</x:v>
      </x:c>
      <x:c r="H15" s="12" t="str">
        <x:v>Não iniciado</x:v>
      </x:c>
      <x:c r="I15" s="26" t="str"/>
      <x:c r="J15" s="12" t="str"/>
      <x:c r="K15" s="12" t="str"/>
    </x:row>
    <x:row r="16">
      <x:c r="A16" s="12" t="str">
        <x:v>EST-15</x:v>
      </x:c>
      <x:c r="B16" s="12" t="str">
        <x:v>Laje com Shaft Técnico</x:v>
      </x:c>
      <x:c r="C16" s="12" t="str">
        <x:v>Lajes</x:v>
      </x:c>
      <x:c r="D16" s="12" t="str">
        <x:v>Sim</x:v>
      </x:c>
      <x:c r="E16" s="12" t="str">
        <x:v>Não</x:v>
      </x:c>
      <x:c r="F16" s="12" t="str">
        <x:v>Não</x:v>
      </x:c>
      <x:c r="G16" s="12" t="str">
        <x:v>Não</x:v>
      </x:c>
      <x:c r="H16" s="12" t="str">
        <x:v>Não iniciado</x:v>
      </x:c>
      <x:c r="I16" s="26" t="str"/>
      <x:c r="J16" s="12" t="str"/>
      <x:c r="K16" s="12" t="str"/>
    </x:row>
    <x:row r="17">
      <x:c r="A17" s="12" t="str">
        <x:v>EST-16</x:v>
      </x:c>
      <x:c r="B17" s="12" t="str">
        <x:v>Sapata Isolada com Pilar Central</x:v>
      </x:c>
      <x:c r="C17" s="12" t="str">
        <x:v>Fundações</x:v>
      </x:c>
      <x:c r="D17" s="12" t="str">
        <x:v>Sim</x:v>
      </x:c>
      <x:c r="E17" s="12" t="str">
        <x:v>Não</x:v>
      </x:c>
      <x:c r="F17" s="12" t="str">
        <x:v>Não</x:v>
      </x:c>
      <x:c r="G17" s="12" t="str">
        <x:v>Não</x:v>
      </x:c>
      <x:c r="H17" s="12" t="str">
        <x:v>Não iniciado</x:v>
      </x:c>
      <x:c r="I17" s="26" t="str"/>
      <x:c r="J17" s="12" t="str"/>
      <x:c r="K17" s="12" t="str"/>
    </x:row>
    <x:row r="18">
      <x:c r="A18" s="12" t="str">
        <x:v>EST-17</x:v>
      </x:c>
      <x:c r="B18" s="12" t="str">
        <x:v>Sapata de Divisa</x:v>
      </x:c>
      <x:c r="C18" s="12" t="str">
        <x:v>Fundações</x:v>
      </x:c>
      <x:c r="D18" s="12" t="str">
        <x:v>Sim</x:v>
      </x:c>
      <x:c r="E18" s="12" t="str">
        <x:v>Não</x:v>
      </x:c>
      <x:c r="F18" s="12" t="str">
        <x:v>Não</x:v>
      </x:c>
      <x:c r="G18" s="12" t="str">
        <x:v>Não</x:v>
      </x:c>
      <x:c r="H18" s="12" t="str">
        <x:v>Não iniciado</x:v>
      </x:c>
      <x:c r="I18" s="26" t="str"/>
      <x:c r="J18" s="12" t="str"/>
      <x:c r="K18" s="12" t="str"/>
    </x:row>
    <x:row r="19">
      <x:c r="A19" s="12" t="str">
        <x:v>EST-18</x:v>
      </x:c>
      <x:c r="B19" s="12" t="str">
        <x:v>Sapata Corrida sob Parede</x:v>
      </x:c>
      <x:c r="C19" s="12" t="str">
        <x:v>Fundações</x:v>
      </x:c>
      <x:c r="D19" s="12" t="str">
        <x:v>Sim</x:v>
      </x:c>
      <x:c r="E19" s="12" t="str">
        <x:v>Não</x:v>
      </x:c>
      <x:c r="F19" s="12" t="str">
        <x:v>Não</x:v>
      </x:c>
      <x:c r="G19" s="12" t="str">
        <x:v>Não</x:v>
      </x:c>
      <x:c r="H19" s="12" t="str">
        <x:v>Não iniciado</x:v>
      </x:c>
      <x:c r="I19" s="26" t="str"/>
      <x:c r="J19" s="12" t="str"/>
      <x:c r="K19" s="12" t="str"/>
    </x:row>
    <x:row r="20">
      <x:c r="A20" s="12" t="str">
        <x:v>EST-19</x:v>
      </x:c>
      <x:c r="B20" s="12" t="str">
        <x:v>Radier Residencial Conceitual</x:v>
      </x:c>
      <x:c r="C20" s="12" t="str">
        <x:v>Fundações</x:v>
      </x:c>
      <x:c r="D20" s="12" t="str">
        <x:v>Sim</x:v>
      </x:c>
      <x:c r="E20" s="12" t="str">
        <x:v>Não</x:v>
      </x:c>
      <x:c r="F20" s="12" t="str">
        <x:v>Não</x:v>
      </x:c>
      <x:c r="G20" s="12" t="str">
        <x:v>Não</x:v>
      </x:c>
      <x:c r="H20" s="12" t="str">
        <x:v>Não iniciado</x:v>
      </x:c>
      <x:c r="I20" s="26" t="str"/>
      <x:c r="J20" s="12" t="str"/>
      <x:c r="K20" s="12" t="str"/>
    </x:row>
    <x:row r="21">
      <x:c r="A21" s="12" t="str">
        <x:v>EST-20</x:v>
      </x:c>
      <x:c r="B21" s="12" t="str">
        <x:v>Bloco sobre Estacas</x:v>
      </x:c>
      <x:c r="C21" s="12" t="str">
        <x:v>Fundações</x:v>
      </x:c>
      <x:c r="D21" s="12" t="str">
        <x:v>Sim</x:v>
      </x:c>
      <x:c r="E21" s="12" t="str">
        <x:v>Não</x:v>
      </x:c>
      <x:c r="F21" s="12" t="str">
        <x:v>Não</x:v>
      </x:c>
      <x:c r="G21" s="12" t="str">
        <x:v>Não</x:v>
      </x:c>
      <x:c r="H21" s="12" t="str">
        <x:v>Não iniciado</x:v>
      </x:c>
      <x:c r="I21" s="26" t="str"/>
      <x:c r="J21" s="12" t="str"/>
      <x:c r="K21" s="12" t="str"/>
    </x:row>
    <x:row r="22">
      <x:c r="A22" s="12" t="str">
        <x:v>EST-21</x:v>
      </x:c>
      <x:c r="B22" s="12" t="str">
        <x:v>Muro de Divisa com Fundação Corrida</x:v>
      </x:c>
      <x:c r="C22" s="12" t="str">
        <x:v>Muros e contenções</x:v>
      </x:c>
      <x:c r="D22" s="12" t="str">
        <x:v>Sim</x:v>
      </x:c>
      <x:c r="E22" s="12" t="str">
        <x:v>Não</x:v>
      </x:c>
      <x:c r="F22" s="12" t="str">
        <x:v>Não</x:v>
      </x:c>
      <x:c r="G22" s="12" t="str">
        <x:v>Não</x:v>
      </x:c>
      <x:c r="H22" s="12" t="str">
        <x:v>Não iniciado</x:v>
      </x:c>
      <x:c r="I22" s="26" t="str"/>
      <x:c r="J22" s="12" t="str"/>
      <x:c r="K22" s="12" t="str"/>
    </x:row>
    <x:row r="23">
      <x:c r="A23" s="12" t="str">
        <x:v>EST-22</x:v>
      </x:c>
      <x:c r="B23" s="12" t="str">
        <x:v>Muro de Arrimo em Concreto Armado</x:v>
      </x:c>
      <x:c r="C23" s="12" t="str">
        <x:v>Muros e contenções</x:v>
      </x:c>
      <x:c r="D23" s="12" t="str">
        <x:v>Sim</x:v>
      </x:c>
      <x:c r="E23" s="12" t="str">
        <x:v>Não</x:v>
      </x:c>
      <x:c r="F23" s="12" t="str">
        <x:v>Não</x:v>
      </x:c>
      <x:c r="G23" s="12" t="str">
        <x:v>Não</x:v>
      </x:c>
      <x:c r="H23" s="12" t="str">
        <x:v>Não iniciado</x:v>
      </x:c>
      <x:c r="I23" s="26" t="str"/>
      <x:c r="J23" s="12" t="str"/>
      <x:c r="K23" s="12" t="str"/>
    </x:row>
    <x:row r="24">
      <x:c r="A24" s="12" t="str">
        <x:v>EST-23</x:v>
      </x:c>
      <x:c r="B24" s="12" t="str">
        <x:v>Muro de Arrimo com Drenagem</x:v>
      </x:c>
      <x:c r="C24" s="12" t="str">
        <x:v>Muros e contenções</x:v>
      </x:c>
      <x:c r="D24" s="12" t="str">
        <x:v>Sim</x:v>
      </x:c>
      <x:c r="E24" s="12" t="str">
        <x:v>Não</x:v>
      </x:c>
      <x:c r="F24" s="12" t="str">
        <x:v>Não</x:v>
      </x:c>
      <x:c r="G24" s="12" t="str">
        <x:v>Não</x:v>
      </x:c>
      <x:c r="H24" s="12" t="str">
        <x:v>Não iniciado</x:v>
      </x:c>
      <x:c r="I24" s="26" t="str"/>
      <x:c r="J24" s="12" t="str"/>
      <x:c r="K24" s="12" t="str"/>
    </x:row>
    <x:row r="25">
      <x:c r="A25" s="12" t="str">
        <x:v>EST-24</x:v>
      </x:c>
      <x:c r="B25" s="12" t="str">
        <x:v>Muro com Contrafortes</x:v>
      </x:c>
      <x:c r="C25" s="12" t="str">
        <x:v>Muros e contenções</x:v>
      </x:c>
      <x:c r="D25" s="12" t="str">
        <x:v>Sim</x:v>
      </x:c>
      <x:c r="E25" s="12" t="str">
        <x:v>Não</x:v>
      </x:c>
      <x:c r="F25" s="12" t="str">
        <x:v>Não</x:v>
      </x:c>
      <x:c r="G25" s="12" t="str">
        <x:v>Não</x:v>
      </x:c>
      <x:c r="H25" s="12" t="str">
        <x:v>Não iniciado</x:v>
      </x:c>
      <x:c r="I25" s="26" t="str"/>
      <x:c r="J25" s="12" t="str"/>
      <x:c r="K25" s="12" t="str"/>
    </x:row>
    <x:row r="26">
      <x:c r="A26" s="12" t="str">
        <x:v>EST-25</x:v>
      </x:c>
      <x:c r="B26" s="12" t="str">
        <x:v>Contenção em Terreno Inclinado</x:v>
      </x:c>
      <x:c r="C26" s="12" t="str">
        <x:v>Muros e contenções</x:v>
      </x:c>
      <x:c r="D26" s="12" t="str">
        <x:v>Sim</x:v>
      </x:c>
      <x:c r="E26" s="12" t="str">
        <x:v>Não</x:v>
      </x:c>
      <x:c r="F26" s="12" t="str">
        <x:v>Não</x:v>
      </x:c>
      <x:c r="G26" s="12" t="str">
        <x:v>Não</x:v>
      </x:c>
      <x:c r="H26" s="12" t="str">
        <x:v>Não iniciado</x:v>
      </x:c>
      <x:c r="I26" s="26" t="str"/>
      <x:c r="J26" s="12" t="str"/>
      <x:c r="K26" s="12" t="str"/>
    </x:row>
    <x:row r="27">
      <x:c r="A27" s="12" t="str">
        <x:v>EST-26</x:v>
      </x:c>
      <x:c r="B27" s="12" t="str">
        <x:v>Escada Reta em Concreto Armado</x:v>
      </x:c>
      <x:c r="C27" s="12" t="str">
        <x:v>Elementos especiais</x:v>
      </x:c>
      <x:c r="D27" s="12" t="str">
        <x:v>Sim</x:v>
      </x:c>
      <x:c r="E27" s="12" t="str">
        <x:v>Não</x:v>
      </x:c>
      <x:c r="F27" s="12" t="str">
        <x:v>Não</x:v>
      </x:c>
      <x:c r="G27" s="12" t="str">
        <x:v>Não</x:v>
      </x:c>
      <x:c r="H27" s="12" t="str">
        <x:v>Não iniciado</x:v>
      </x:c>
      <x:c r="I27" s="26" t="str"/>
      <x:c r="J27" s="12" t="str"/>
      <x:c r="K27" s="12" t="str"/>
    </x:row>
    <x:row r="28">
      <x:c r="A28" s="12" t="str">
        <x:v>EST-27</x:v>
      </x:c>
      <x:c r="B28" s="12" t="str">
        <x:v>Escada em L com Patamar</x:v>
      </x:c>
      <x:c r="C28" s="12" t="str">
        <x:v>Elementos especiais</x:v>
      </x:c>
      <x:c r="D28" s="12" t="str">
        <x:v>Sim</x:v>
      </x:c>
      <x:c r="E28" s="12" t="str">
        <x:v>Não</x:v>
      </x:c>
      <x:c r="F28" s="12" t="str">
        <x:v>Não</x:v>
      </x:c>
      <x:c r="G28" s="12" t="str">
        <x:v>Não</x:v>
      </x:c>
      <x:c r="H28" s="12" t="str">
        <x:v>Não iniciado</x:v>
      </x:c>
      <x:c r="I28" s="26" t="str"/>
      <x:c r="J28" s="12" t="str"/>
      <x:c r="K28" s="12" t="str"/>
    </x:row>
    <x:row r="29">
      <x:c r="A29" s="12" t="str">
        <x:v>EST-28</x:v>
      </x:c>
      <x:c r="B29" s="12" t="str">
        <x:v>Marquise em Balanço</x:v>
      </x:c>
      <x:c r="C29" s="12" t="str">
        <x:v>Elementos especiais</x:v>
      </x:c>
      <x:c r="D29" s="12" t="str">
        <x:v>Sim</x:v>
      </x:c>
      <x:c r="E29" s="12" t="str">
        <x:v>Não</x:v>
      </x:c>
      <x:c r="F29" s="12" t="str">
        <x:v>Não</x:v>
      </x:c>
      <x:c r="G29" s="12" t="str">
        <x:v>Não</x:v>
      </x:c>
      <x:c r="H29" s="12" t="str">
        <x:v>Não iniciado</x:v>
      </x:c>
      <x:c r="I29" s="26" t="str"/>
      <x:c r="J29" s="12" t="str"/>
      <x:c r="K29" s="12" t="str"/>
    </x:row>
    <x:row r="30">
      <x:c r="A30" s="12" t="str">
        <x:v>EST-29</x:v>
      </x:c>
      <x:c r="B30" s="12" t="str">
        <x:v>Base Estrutural para Caixa d'Água</x:v>
      </x:c>
      <x:c r="C30" s="12" t="str">
        <x:v>Elementos especiais</x:v>
      </x:c>
      <x:c r="D30" s="12" t="str">
        <x:v>Sim</x:v>
      </x:c>
      <x:c r="E30" s="12" t="str">
        <x:v>Não</x:v>
      </x:c>
      <x:c r="F30" s="12" t="str">
        <x:v>Não</x:v>
      </x:c>
      <x:c r="G30" s="12" t="str">
        <x:v>Não</x:v>
      </x:c>
      <x:c r="H30" s="12" t="str">
        <x:v>Não iniciado</x:v>
      </x:c>
      <x:c r="I30" s="26" t="str"/>
      <x:c r="J30" s="12" t="str"/>
      <x:c r="K30" s="12" t="str"/>
    </x:row>
    <x:row r="31">
      <x:c r="A31" s="12" t="str">
        <x:v>EST-30</x:v>
      </x:c>
      <x:c r="B31" s="12" t="str">
        <x:v>Reservatório Apoiado Conceitual</x:v>
      </x:c>
      <x:c r="C31" s="12" t="str">
        <x:v>Elementos especiais</x:v>
      </x:c>
      <x:c r="D31" s="12" t="str">
        <x:v>Sim</x:v>
      </x:c>
      <x:c r="E31" s="12" t="str">
        <x:v>Não</x:v>
      </x:c>
      <x:c r="F31" s="12" t="str">
        <x:v>Não</x:v>
      </x:c>
      <x:c r="G31" s="12" t="str">
        <x:v>Não</x:v>
      </x:c>
      <x:c r="H31" s="12" t="str">
        <x:v>Não iniciado</x:v>
      </x:c>
      <x:c r="I31" s="26" t="str"/>
      <x:c r="J31" s="12" t="str"/>
      <x:c r="K31" s="12" t="str"/>
    </x:row>
    <x:row r="32">
      <x:c r="A32" s="12" t="str">
        <x:v>EST-31</x:v>
      </x:c>
      <x:c r="B32" s="12" t="str">
        <x:v>Pórtico Metálico Simples</x:v>
      </x:c>
      <x:c r="C32" s="12" t="str">
        <x:v>Metálicas e madeira</x:v>
      </x:c>
      <x:c r="D32" s="12" t="str">
        <x:v>Sim</x:v>
      </x:c>
      <x:c r="E32" s="12" t="str">
        <x:v>Não</x:v>
      </x:c>
      <x:c r="F32" s="12" t="str">
        <x:v>Não</x:v>
      </x:c>
      <x:c r="G32" s="12" t="str">
        <x:v>Não</x:v>
      </x:c>
      <x:c r="H32" s="12" t="str">
        <x:v>Não iniciado</x:v>
      </x:c>
      <x:c r="I32" s="26" t="str"/>
      <x:c r="J32" s="12" t="str"/>
      <x:c r="K32" s="12" t="str"/>
    </x:row>
    <x:row r="33">
      <x:c r="A33" s="12" t="str">
        <x:v>EST-32</x:v>
      </x:c>
      <x:c r="B33" s="12" t="str">
        <x:v>Viga Metálica com Chapa de Ligação</x:v>
      </x:c>
      <x:c r="C33" s="12" t="str">
        <x:v>Metálicas e madeira</x:v>
      </x:c>
      <x:c r="D33" s="12" t="str">
        <x:v>Sim</x:v>
      </x:c>
      <x:c r="E33" s="12" t="str">
        <x:v>Não</x:v>
      </x:c>
      <x:c r="F33" s="12" t="str">
        <x:v>Não</x:v>
      </x:c>
      <x:c r="G33" s="12" t="str">
        <x:v>Não</x:v>
      </x:c>
      <x:c r="H33" s="12" t="str">
        <x:v>Não iniciado</x:v>
      </x:c>
      <x:c r="I33" s="26" t="str"/>
      <x:c r="J33" s="12" t="str"/>
      <x:c r="K33" s="12" t="str"/>
    </x:row>
    <x:row r="34">
      <x:c r="A34" s="12" t="str">
        <x:v>EST-33</x:v>
      </x:c>
      <x:c r="B34" s="12" t="str">
        <x:v>Pilar Metálico com Base Chumbada</x:v>
      </x:c>
      <x:c r="C34" s="12" t="str">
        <x:v>Metálicas e madeira</x:v>
      </x:c>
      <x:c r="D34" s="12" t="str">
        <x:v>Sim</x:v>
      </x:c>
      <x:c r="E34" s="12" t="str">
        <x:v>Não</x:v>
      </x:c>
      <x:c r="F34" s="12" t="str">
        <x:v>Não</x:v>
      </x:c>
      <x:c r="G34" s="12" t="str">
        <x:v>Não</x:v>
      </x:c>
      <x:c r="H34" s="12" t="str">
        <x:v>Não iniciado</x:v>
      </x:c>
      <x:c r="I34" s="26" t="str"/>
      <x:c r="J34" s="12" t="str"/>
      <x:c r="K34" s="12" t="str"/>
    </x:row>
    <x:row r="35">
      <x:c r="A35" s="12" t="str">
        <x:v>EST-34</x:v>
      </x:c>
      <x:c r="B35" s="12" t="str">
        <x:v>Tesoura Metálica para Cobertura</x:v>
      </x:c>
      <x:c r="C35" s="12" t="str">
        <x:v>Metálicas e madeira</x:v>
      </x:c>
      <x:c r="D35" s="12" t="str">
        <x:v>Sim</x:v>
      </x:c>
      <x:c r="E35" s="12" t="str">
        <x:v>Não</x:v>
      </x:c>
      <x:c r="F35" s="12" t="str">
        <x:v>Não</x:v>
      </x:c>
      <x:c r="G35" s="12" t="str">
        <x:v>Não</x:v>
      </x:c>
      <x:c r="H35" s="12" t="str">
        <x:v>Não iniciado</x:v>
      </x:c>
      <x:c r="I35" s="26" t="str"/>
      <x:c r="J35" s="12" t="str"/>
      <x:c r="K35" s="12" t="str"/>
    </x:row>
    <x:row r="36">
      <x:c r="A36" s="12" t="str">
        <x:v>EST-35</x:v>
      </x:c>
      <x:c r="B36" s="12" t="str">
        <x:v>Estrutura de Madeira para Cobertura</x:v>
      </x:c>
      <x:c r="C36" s="12" t="str">
        <x:v>Metálicas e madeira</x:v>
      </x:c>
      <x:c r="D36" s="12" t="str">
        <x:v>Sim</x:v>
      </x:c>
      <x:c r="E36" s="12" t="str">
        <x:v>Não</x:v>
      </x:c>
      <x:c r="F36" s="12" t="str">
        <x:v>Não</x:v>
      </x:c>
      <x:c r="G36" s="12" t="str">
        <x:v>Não</x:v>
      </x:c>
      <x:c r="H36" s="12" t="str">
        <x:v>Não iniciado</x:v>
      </x:c>
      <x:c r="I36" s="26" t="str"/>
      <x:c r="J36" s="12" t="str"/>
      <x:c r="K36" s="12" t="str"/>
    </x:row>
    <x:row r="37">
      <x:c r="A37" s="12" t="str">
        <x:v>EST-36</x:v>
      </x:c>
      <x:c r="B37" s="12" t="str">
        <x:v>Mapa de Fissuras em Viga</x:v>
      </x:c>
      <x:c r="C37" s="12" t="str">
        <x:v>Patologias</x:v>
      </x:c>
      <x:c r="D37" s="12" t="str">
        <x:v>Sim</x:v>
      </x:c>
      <x:c r="E37" s="12" t="str">
        <x:v>Não</x:v>
      </x:c>
      <x:c r="F37" s="12" t="str">
        <x:v>Não</x:v>
      </x:c>
      <x:c r="G37" s="12" t="str">
        <x:v>Não</x:v>
      </x:c>
      <x:c r="H37" s="12" t="str">
        <x:v>Não iniciado</x:v>
      </x:c>
      <x:c r="I37" s="26" t="str"/>
      <x:c r="J37" s="12" t="str"/>
      <x:c r="K37" s="12" t="str"/>
    </x:row>
    <x:row r="38">
      <x:c r="A38" s="12" t="str">
        <x:v>EST-37</x:v>
      </x:c>
      <x:c r="B38" s="12" t="str">
        <x:v>Trinca em Pilar - Registro Visual</x:v>
      </x:c>
      <x:c r="C38" s="12" t="str">
        <x:v>Patologias</x:v>
      </x:c>
      <x:c r="D38" s="12" t="str">
        <x:v>Sim</x:v>
      </x:c>
      <x:c r="E38" s="12" t="str">
        <x:v>Não</x:v>
      </x:c>
      <x:c r="F38" s="12" t="str">
        <x:v>Não</x:v>
      </x:c>
      <x:c r="G38" s="12" t="str">
        <x:v>Não</x:v>
      </x:c>
      <x:c r="H38" s="12" t="str">
        <x:v>Não iniciado</x:v>
      </x:c>
      <x:c r="I38" s="26" t="str"/>
      <x:c r="J38" s="12" t="str"/>
      <x:c r="K38" s="12" t="str"/>
    </x:row>
    <x:row r="39">
      <x:c r="A39" s="12" t="str">
        <x:v>EST-38</x:v>
      </x:c>
      <x:c r="B39" s="12" t="str">
        <x:v>Recalque Diferencial Conceitual</x:v>
      </x:c>
      <x:c r="C39" s="12" t="str">
        <x:v>Patologias</x:v>
      </x:c>
      <x:c r="D39" s="12" t="str">
        <x:v>Sim</x:v>
      </x:c>
      <x:c r="E39" s="12" t="str">
        <x:v>Não</x:v>
      </x:c>
      <x:c r="F39" s="12" t="str">
        <x:v>Não</x:v>
      </x:c>
      <x:c r="G39" s="12" t="str">
        <x:v>Não</x:v>
      </x:c>
      <x:c r="H39" s="12" t="str">
        <x:v>Não iniciado</x:v>
      </x:c>
      <x:c r="I39" s="26" t="str"/>
      <x:c r="J39" s="12" t="str"/>
      <x:c r="K39" s="12" t="str"/>
    </x:row>
    <x:row r="40">
      <x:c r="A40" s="12" t="str">
        <x:v>EST-39</x:v>
      </x:c>
      <x:c r="B40" s="12" t="str">
        <x:v>Corrosão de Armadura em Laje</x:v>
      </x:c>
      <x:c r="C40" s="12" t="str">
        <x:v>Patologias</x:v>
      </x:c>
      <x:c r="D40" s="12" t="str">
        <x:v>Sim</x:v>
      </x:c>
      <x:c r="E40" s="12" t="str">
        <x:v>Não</x:v>
      </x:c>
      <x:c r="F40" s="12" t="str">
        <x:v>Não</x:v>
      </x:c>
      <x:c r="G40" s="12" t="str">
        <x:v>Não</x:v>
      </x:c>
      <x:c r="H40" s="12" t="str">
        <x:v>Não iniciado</x:v>
      </x:c>
      <x:c r="I40" s="26" t="str"/>
      <x:c r="J40" s="12" t="str"/>
      <x:c r="K40" s="12" t="str"/>
    </x:row>
    <x:row r="41">
      <x:c r="A41" s="12" t="str">
        <x:v>EST-40</x:v>
      </x:c>
      <x:c r="B41" s="12" t="str">
        <x:v>Checklist de Vistoria Estrutural Inicial</x:v>
      </x:c>
      <x:c r="C41" s="12" t="str">
        <x:v>Patologias</x:v>
      </x:c>
      <x:c r="D41" s="12" t="str">
        <x:v>Sim</x:v>
      </x:c>
      <x:c r="E41" s="12" t="str">
        <x:v>Não</x:v>
      </x:c>
      <x:c r="F41" s="12" t="str">
        <x:v>Não</x:v>
      </x:c>
      <x:c r="G41" s="12" t="str">
        <x:v>Não</x:v>
      </x:c>
      <x:c r="H41" s="12" t="str">
        <x:v>Não iniciado</x:v>
      </x:c>
      <x:c r="I41" s="26" t="str"/>
      <x:c r="J41" s="12" t="str"/>
      <x:c r="K41" s="12" t="str"/>
    </x:row>
    <x:row r="42">
      <x:c r="A42" s="12" t="str">
        <x:v>EST-41</x:v>
      </x:c>
      <x:c r="B42" s="12" t="str">
        <x:v>Compatibilização Pilar x Arquitetura</x:v>
      </x:c>
      <x:c r="C42" s="12" t="str">
        <x:v>Compatibilização</x:v>
      </x:c>
      <x:c r="D42" s="12" t="str">
        <x:v>Sim</x:v>
      </x:c>
      <x:c r="E42" s="12" t="str">
        <x:v>Não</x:v>
      </x:c>
      <x:c r="F42" s="12" t="str">
        <x:v>Não</x:v>
      </x:c>
      <x:c r="G42" s="12" t="str">
        <x:v>Não</x:v>
      </x:c>
      <x:c r="H42" s="12" t="str">
        <x:v>Não iniciado</x:v>
      </x:c>
      <x:c r="I42" s="26" t="str"/>
      <x:c r="J42" s="12" t="str"/>
      <x:c r="K42" s="12" t="str"/>
    </x:row>
    <x:row r="43">
      <x:c r="A43" s="12" t="str">
        <x:v>EST-42</x:v>
      </x:c>
      <x:c r="B43" s="12" t="str">
        <x:v>Compatibilização Viga x Forro</x:v>
      </x:c>
      <x:c r="C43" s="12" t="str">
        <x:v>Compatibilização</x:v>
      </x:c>
      <x:c r="D43" s="12" t="str">
        <x:v>Sim</x:v>
      </x:c>
      <x:c r="E43" s="12" t="str">
        <x:v>Não</x:v>
      </x:c>
      <x:c r="F43" s="12" t="str">
        <x:v>Não</x:v>
      </x:c>
      <x:c r="G43" s="12" t="str">
        <x:v>Não</x:v>
      </x:c>
      <x:c r="H43" s="12" t="str">
        <x:v>Não iniciado</x:v>
      </x:c>
      <x:c r="I43" s="26" t="str"/>
      <x:c r="J43" s="12" t="str"/>
      <x:c r="K43" s="12" t="str"/>
    </x:row>
    <x:row r="44">
      <x:c r="A44" s="12" t="str">
        <x:v>EST-43</x:v>
      </x:c>
      <x:c r="B44" s="12" t="str">
        <x:v>Shaft Técnico atravessando Laje</x:v>
      </x:c>
      <x:c r="C44" s="12" t="str">
        <x:v>Compatibilização</x:v>
      </x:c>
      <x:c r="D44" s="12" t="str">
        <x:v>Sim</x:v>
      </x:c>
      <x:c r="E44" s="12" t="str">
        <x:v>Não</x:v>
      </x:c>
      <x:c r="F44" s="12" t="str">
        <x:v>Não</x:v>
      </x:c>
      <x:c r="G44" s="12" t="str">
        <x:v>Não</x:v>
      </x:c>
      <x:c r="H44" s="12" t="str">
        <x:v>Não iniciado</x:v>
      </x:c>
      <x:c r="I44" s="26" t="str"/>
      <x:c r="J44" s="12" t="str"/>
      <x:c r="K44" s="12" t="str"/>
    </x:row>
    <x:row r="45">
      <x:c r="A45" s="12" t="str">
        <x:v>EST-44</x:v>
      </x:c>
      <x:c r="B45" s="12" t="str">
        <x:v>Interferência Hidráulica em Viga</x:v>
      </x:c>
      <x:c r="C45" s="12" t="str">
        <x:v>Compatibilização</x:v>
      </x:c>
      <x:c r="D45" s="12" t="str">
        <x:v>Sim</x:v>
      </x:c>
      <x:c r="E45" s="12" t="str">
        <x:v>Não</x:v>
      </x:c>
      <x:c r="F45" s="12" t="str">
        <x:v>Não</x:v>
      </x:c>
      <x:c r="G45" s="12" t="str">
        <x:v>Não</x:v>
      </x:c>
      <x:c r="H45" s="12" t="str">
        <x:v>Não iniciado</x:v>
      </x:c>
      <x:c r="I45" s="26" t="str"/>
      <x:c r="J45" s="12" t="str"/>
      <x:c r="K45" s="12" t="str"/>
    </x:row>
    <x:row r="46">
      <x:c r="A46" s="12" t="str">
        <x:v>EST-45</x:v>
      </x:c>
      <x:c r="B46" s="12" t="str">
        <x:v>Mapa de Conflitos Estruturais</x:v>
      </x:c>
      <x:c r="C46" s="12" t="str">
        <x:v>Compatibilização</x:v>
      </x:c>
      <x:c r="D46" s="12" t="str">
        <x:v>Sim</x:v>
      </x:c>
      <x:c r="E46" s="12" t="str">
        <x:v>Não</x:v>
      </x:c>
      <x:c r="F46" s="12" t="str">
        <x:v>Não</x:v>
      </x:c>
      <x:c r="G46" s="12" t="str">
        <x:v>Não</x:v>
      </x:c>
      <x:c r="H46" s="12" t="str">
        <x:v>Não iniciado</x:v>
      </x:c>
      <x:c r="I46" s="26" t="str"/>
      <x:c r="J46" s="12" t="str"/>
      <x:c r="K46" s="12" t="str"/>
    </x:row>
    <x:row r="47">
      <x:c r="A47" s="12" t="str">
        <x:v>EST-46</x:v>
      </x:c>
      <x:c r="B47" s="12" t="str">
        <x:v>Planta Estrutural Residencial Modelo</x:v>
      </x:c>
      <x:c r="C47" s="12" t="str">
        <x:v>Pranchas finais</x:v>
      </x:c>
      <x:c r="D47" s="12" t="str">
        <x:v>Sim</x:v>
      </x:c>
      <x:c r="E47" s="12" t="str">
        <x:v>Não</x:v>
      </x:c>
      <x:c r="F47" s="12" t="str">
        <x:v>Não</x:v>
      </x:c>
      <x:c r="G47" s="12" t="str">
        <x:v>Não</x:v>
      </x:c>
      <x:c r="H47" s="12" t="str">
        <x:v>Não iniciado</x:v>
      </x:c>
      <x:c r="I47" s="26" t="str"/>
      <x:c r="J47" s="12" t="str"/>
      <x:c r="K47" s="12" t="str"/>
    </x:row>
    <x:row r="48">
      <x:c r="A48" s="12" t="str">
        <x:v>EST-47</x:v>
      </x:c>
      <x:c r="B48" s="12" t="str">
        <x:v>Cortes Estruturais Integrados</x:v>
      </x:c>
      <x:c r="C48" s="12" t="str">
        <x:v>Pranchas finais</x:v>
      </x:c>
      <x:c r="D48" s="12" t="str">
        <x:v>Sim</x:v>
      </x:c>
      <x:c r="E48" s="12" t="str">
        <x:v>Não</x:v>
      </x:c>
      <x:c r="F48" s="12" t="str">
        <x:v>Não</x:v>
      </x:c>
      <x:c r="G48" s="12" t="str">
        <x:v>Não</x:v>
      </x:c>
      <x:c r="H48" s="12" t="str">
        <x:v>Não iniciado</x:v>
      </x:c>
      <x:c r="I48" s="26" t="str"/>
      <x:c r="J48" s="12" t="str"/>
      <x:c r="K48" s="12" t="str"/>
    </x:row>
    <x:row r="49">
      <x:c r="A49" s="12" t="str">
        <x:v>EST-48</x:v>
      </x:c>
      <x:c r="B49" s="12" t="str">
        <x:v>Detalhamento Geral de Elementos Estruturais</x:v>
      </x:c>
      <x:c r="C49" s="12" t="str">
        <x:v>Pranchas finais</x:v>
      </x:c>
      <x:c r="D49" s="12" t="str">
        <x:v>Sim</x:v>
      </x:c>
      <x:c r="E49" s="12" t="str">
        <x:v>Não</x:v>
      </x:c>
      <x:c r="F49" s="12" t="str">
        <x:v>Não</x:v>
      </x:c>
      <x:c r="G49" s="12" t="str">
        <x:v>Não</x:v>
      </x:c>
      <x:c r="H49" s="12" t="str">
        <x:v>Não iniciado</x:v>
      </x:c>
      <x:c r="I49" s="26" t="str"/>
      <x:c r="J49" s="12" t="str"/>
      <x:c r="K49" s="12" t="str"/>
    </x:row>
    <x:row r="50">
      <x:c r="A50" s="12" t="str">
        <x:v>EST-49</x:v>
      </x:c>
      <x:c r="B50" s="12" t="str">
        <x:v>Quadro de Quantitativos Estruturais</x:v>
      </x:c>
      <x:c r="C50" s="12" t="str">
        <x:v>Pranchas finais</x:v>
      </x:c>
      <x:c r="D50" s="12" t="str">
        <x:v>Sim</x:v>
      </x:c>
      <x:c r="E50" s="12" t="str">
        <x:v>Não</x:v>
      </x:c>
      <x:c r="F50" s="12" t="str">
        <x:v>Não</x:v>
      </x:c>
      <x:c r="G50" s="12" t="str">
        <x:v>Não</x:v>
      </x:c>
      <x:c r="H50" s="12" t="str">
        <x:v>Não iniciado</x:v>
      </x:c>
      <x:c r="I50" s="26" t="str"/>
      <x:c r="J50" s="12" t="str"/>
      <x:c r="K50" s="12" t="str"/>
    </x:row>
    <x:row r="51">
      <x:c r="A51" s="12" t="str">
        <x:v>EST-50</x:v>
      </x:c>
      <x:c r="B51" s="12" t="str">
        <x:v>Dossiê Estrutural Conceitual para Estudo</x:v>
      </x:c>
      <x:c r="C51" s="12" t="str">
        <x:v>Pranchas finais</x:v>
      </x:c>
      <x:c r="D51" s="12" t="str">
        <x:v>Sim</x:v>
      </x:c>
      <x:c r="E51" s="12" t="str">
        <x:v>Não</x:v>
      </x:c>
      <x:c r="F51" s="12" t="str">
        <x:v>Não</x:v>
      </x:c>
      <x:c r="G51" s="12" t="str">
        <x:v>Não</x:v>
      </x:c>
      <x:c r="H51" s="12" t="str">
        <x:v>Não iniciado</x:v>
      </x:c>
      <x:c r="I51" s="26" t="str"/>
      <x:c r="J51" s="12" t="str"/>
      <x:c r="K51" s="12" t="str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26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26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26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26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26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26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26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26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26"/>
      <x:c r="J60" s="12"/>
      <x:c r="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26"/>
      <x:c r="J61" s="12"/>
      <x:c r="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26"/>
      <x:c r="J62" s="12"/>
      <x:c r="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26"/>
      <x:c r="J63" s="12"/>
      <x:c r="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26"/>
      <x:c r="J64" s="12"/>
      <x:c r="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26"/>
      <x:c r="J65" s="12"/>
      <x:c r="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26"/>
      <x:c r="J66" s="12"/>
      <x:c r="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26"/>
      <x:c r="J67" s="12"/>
      <x:c r="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26"/>
      <x:c r="J68" s="12"/>
      <x:c r="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26"/>
      <x:c r="J69" s="12"/>
      <x:c r="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26"/>
      <x:c r="J70" s="12"/>
      <x:c r="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26"/>
      <x:c r="J71" s="12"/>
      <x:c r="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26"/>
      <x:c r="J72" s="12"/>
      <x:c r="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26"/>
      <x:c r="J73" s="12"/>
      <x:c r="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26"/>
      <x:c r="J74" s="12"/>
      <x:c r="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26"/>
      <x:c r="J75" s="12"/>
      <x:c r="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26"/>
      <x:c r="J76" s="12"/>
      <x:c r="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26"/>
      <x:c r="J77" s="12"/>
      <x:c r="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26"/>
      <x:c r="J78" s="12"/>
      <x:c r="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26"/>
      <x:c r="J79" s="12"/>
      <x:c r="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26"/>
      <x:c r="J80" s="12"/>
      <x:c r="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26"/>
      <x:c r="J81" s="12"/>
      <x:c r="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26"/>
      <x:c r="J82" s="12"/>
      <x:c r="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26"/>
      <x:c r="J83" s="12"/>
      <x:c r="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26"/>
      <x:c r="J84" s="12"/>
      <x:c r="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26"/>
      <x:c r="J85" s="12"/>
      <x:c r="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26"/>
      <x:c r="J86" s="12"/>
      <x:c r="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26"/>
      <x:c r="J87" s="12"/>
      <x:c r="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26"/>
      <x:c r="J88" s="12"/>
      <x:c r="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26"/>
      <x:c r="J89" s="12"/>
      <x:c r="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26"/>
      <x:c r="J90" s="12"/>
      <x:c r="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26"/>
      <x:c r="J91" s="12"/>
      <x:c r="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26"/>
      <x:c r="J92" s="12"/>
      <x:c r="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26"/>
      <x:c r="J93" s="12"/>
      <x:c r="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26"/>
      <x:c r="J94" s="12"/>
      <x:c r="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26"/>
      <x:c r="J95" s="12"/>
      <x:c r="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26"/>
      <x:c r="J96" s="12"/>
      <x:c r="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26"/>
      <x:c r="J97" s="12"/>
      <x:c r="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26"/>
      <x:c r="J98" s="12"/>
      <x:c r="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26"/>
      <x:c r="J99" s="12"/>
      <x:c r="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26"/>
      <x:c r="J100" s="12"/>
      <x:c r="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26"/>
      <x:c r="J101" s="12"/>
      <x:c r="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26"/>
      <x:c r="J102" s="12"/>
      <x:c r="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26"/>
      <x:c r="J103" s="12"/>
      <x:c r="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26"/>
      <x:c r="J104" s="12"/>
      <x:c r="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26"/>
      <x:c r="J105" s="12"/>
      <x:c r="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26"/>
      <x:c r="J106" s="12"/>
      <x:c r="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26"/>
      <x:c r="J107" s="12"/>
      <x:c r="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26"/>
      <x:c r="J108" s="12"/>
      <x:c r="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26"/>
      <x:c r="J109" s="12"/>
      <x:c r="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26"/>
      <x:c r="J110" s="12"/>
      <x:c r="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26"/>
      <x:c r="J111" s="12"/>
      <x:c r="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26"/>
      <x:c r="J112" s="12"/>
      <x:c r="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26"/>
      <x:c r="J113" s="12"/>
      <x:c r="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26"/>
      <x:c r="J114" s="12"/>
      <x:c r="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26"/>
      <x:c r="J115" s="12"/>
      <x:c r="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26"/>
      <x:c r="J116" s="12"/>
      <x:c r="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26"/>
      <x:c r="J117" s="12"/>
      <x:c r="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26"/>
      <x:c r="J118" s="12"/>
      <x:c r="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26"/>
      <x:c r="J119" s="12"/>
      <x:c r="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26"/>
      <x:c r="J120" s="12"/>
      <x:c r="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26"/>
      <x:c r="J121" s="12"/>
      <x:c r="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26"/>
      <x:c r="J122" s="12"/>
      <x:c r="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26"/>
      <x:c r="J123" s="12"/>
      <x:c r="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26"/>
      <x:c r="J124" s="12"/>
      <x:c r="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26"/>
      <x:c r="J125" s="12"/>
      <x:c r="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26"/>
      <x:c r="J126" s="12"/>
      <x:c r="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26"/>
      <x:c r="J127" s="12"/>
      <x:c r="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26"/>
      <x:c r="J128" s="12"/>
      <x:c r="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26"/>
      <x:c r="J129" s="12"/>
      <x:c r="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26"/>
      <x:c r="J130" s="12"/>
      <x:c r="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26"/>
      <x:c r="J131" s="12"/>
      <x:c r="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26"/>
      <x:c r="J132" s="12"/>
      <x:c r="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26"/>
      <x:c r="J133" s="12"/>
      <x:c r="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26"/>
      <x:c r="J134" s="12"/>
      <x:c r="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26"/>
      <x:c r="J135" s="12"/>
      <x:c r="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26"/>
      <x:c r="J136" s="12"/>
      <x:c r="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26"/>
      <x:c r="J137" s="12"/>
      <x:c r="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26"/>
      <x:c r="J138" s="12"/>
      <x:c r="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26"/>
      <x:c r="J139" s="12"/>
      <x:c r="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26"/>
      <x:c r="J140" s="12"/>
      <x:c r="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26"/>
      <x:c r="J141" s="12"/>
      <x:c r="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26"/>
      <x:c r="J142" s="12"/>
      <x:c r="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26"/>
      <x:c r="J143" s="12"/>
      <x:c r="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26"/>
      <x:c r="J144" s="12"/>
      <x:c r="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26"/>
      <x:c r="J145" s="12"/>
      <x:c r="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26"/>
      <x:c r="J146" s="12"/>
      <x:c r="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26"/>
      <x:c r="J147" s="12"/>
      <x:c r="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26"/>
      <x:c r="J148" s="12"/>
      <x:c r="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26"/>
      <x:c r="J149" s="12"/>
      <x:c r="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26"/>
      <x:c r="J150" s="12"/>
      <x:c r="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26"/>
      <x:c r="J151" s="12"/>
      <x:c r="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26"/>
      <x:c r="J152" s="12"/>
      <x:c r="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26"/>
      <x:c r="J153" s="12"/>
      <x:c r="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26"/>
      <x:c r="J154" s="12"/>
      <x:c r="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26"/>
      <x:c r="J155" s="12"/>
      <x:c r="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26"/>
      <x:c r="J156" s="12"/>
      <x:c r="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26"/>
      <x:c r="J157" s="12"/>
      <x:c r="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26"/>
      <x:c r="J158" s="12"/>
      <x:c r="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26"/>
      <x:c r="J159" s="12"/>
      <x:c r="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26"/>
      <x:c r="J160" s="12"/>
      <x:c r="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26"/>
      <x:c r="J161" s="12"/>
      <x:c r="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26"/>
      <x:c r="J162" s="12"/>
      <x:c r="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26"/>
      <x:c r="J163" s="12"/>
      <x:c r="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26"/>
      <x:c r="J164" s="12"/>
      <x:c r="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26"/>
      <x:c r="J165" s="12"/>
      <x:c r="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26"/>
      <x:c r="J166" s="12"/>
      <x:c r="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26"/>
      <x:c r="J167" s="12"/>
      <x:c r="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26"/>
      <x:c r="J168" s="12"/>
      <x:c r="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26"/>
      <x:c r="J169" s="12"/>
      <x:c r="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26"/>
      <x:c r="J170" s="12"/>
      <x:c r="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26"/>
      <x:c r="J171" s="12"/>
      <x:c r="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26"/>
      <x:c r="J172" s="12"/>
      <x:c r="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26"/>
      <x:c r="J173" s="12"/>
      <x:c r="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26"/>
      <x:c r="J174" s="12"/>
      <x:c r="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26"/>
      <x:c r="J175" s="12"/>
      <x:c r="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26"/>
      <x:c r="J176" s="12"/>
      <x:c r="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26"/>
      <x:c r="J177" s="12"/>
      <x:c r="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26"/>
      <x:c r="J178" s="12"/>
      <x:c r="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26"/>
      <x:c r="J179" s="12"/>
      <x:c r="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26"/>
      <x:c r="J180" s="12"/>
      <x:c r="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26"/>
      <x:c r="J181" s="12"/>
      <x:c r="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26"/>
      <x:c r="J182" s="12"/>
      <x:c r="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26"/>
      <x:c r="J183" s="12"/>
      <x:c r="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26"/>
      <x:c r="J184" s="12"/>
      <x:c r="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26"/>
      <x:c r="J185" s="12"/>
      <x:c r="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26"/>
      <x:c r="J186" s="12"/>
      <x:c r="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26"/>
      <x:c r="J187" s="12"/>
      <x:c r="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26"/>
      <x:c r="J188" s="12"/>
      <x:c r="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26"/>
      <x:c r="J189" s="12"/>
      <x:c r="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26"/>
      <x:c r="J190" s="12"/>
      <x:c r="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26"/>
      <x:c r="J191" s="12"/>
      <x:c r="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26"/>
      <x:c r="J192" s="12"/>
      <x:c r="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26"/>
      <x:c r="J193" s="12"/>
      <x:c r="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26"/>
      <x:c r="J194" s="12"/>
      <x:c r="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26"/>
      <x:c r="J195" s="12"/>
      <x:c r="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26"/>
      <x:c r="J196" s="12"/>
      <x:c r="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26"/>
      <x:c r="J197" s="12"/>
      <x:c r="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26"/>
      <x:c r="J198" s="12"/>
      <x:c r="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26"/>
      <x:c r="J199" s="12"/>
      <x:c r="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26"/>
      <x:c r="J200" s="12"/>
      <x:c r="K200" s="12"/>
    </x:row>
  </x:sheetData>
  <x:dataValidations count="5">
    <x:dataValidation type="list" sqref="D2:D200">
      <x:formula1>"Sim,Não"</x:formula1>
    </x:dataValidation>
    <x:dataValidation type="list" sqref="E2:E200">
      <x:formula1>"Sim,Não"</x:formula1>
    </x:dataValidation>
    <x:dataValidation type="list" sqref="F2:F200">
      <x:formula1>"Sim,Não"</x:formula1>
    </x:dataValidation>
    <x:dataValidation type="list" sqref="G2:G200">
      <x:formula1>"Sim,Não"</x:formula1>
    </x:dataValidation>
    <x:dataValidation type="list" sqref="H2:H2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9452878094c8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Categorias</x:v>
      </x:c>
      <x:c r="B1" s="6" t="str">
        <x:v>Status</x:v>
      </x:c>
      <x:c r="C1" s="6" t="str">
        <x:v>Prioridade</x:v>
      </x:c>
      <x:c r="D1" s="6" t="str">
        <x:v>Severidade</x:v>
      </x:c>
      <x:c r="E1" s="6" t="str">
        <x:v>Disciplina</x:v>
      </x:c>
      <x:c r="F1" s="6" t="str">
        <x:v>Tipo_Visual</x:v>
      </x:c>
    </x:row>
    <x:row r="2">
      <x:c r="A2" s="12" t="str">
        <x:v>Vigas</x:v>
      </x:c>
      <x:c r="B2" s="12" t="str">
        <x:v>Não iniciado</x:v>
      </x:c>
      <x:c r="C2" s="12" t="str">
        <x:v>Baixa</x:v>
      </x:c>
      <x:c r="D2" s="12" t="str">
        <x:v>Baixa</x:v>
      </x:c>
      <x:c r="E2" s="12" t="str">
        <x:v>Estruturas</x:v>
      </x:c>
      <x:c r="F2" s="12" t="str">
        <x:v>PNG</x:v>
      </x:c>
    </x:row>
    <x:row r="3">
      <x:c r="A3" s="12" t="str">
        <x:v>Pilares</x:v>
      </x:c>
      <x:c r="B3" s="12" t="str">
        <x:v>Em andamento</x:v>
      </x:c>
      <x:c r="C3" s="12" t="str">
        <x:v>Média</x:v>
      </x:c>
      <x:c r="D3" s="12" t="str">
        <x:v>Média</x:v>
      </x:c>
      <x:c r="E3" s="12" t="str">
        <x:v>Arquitetura</x:v>
      </x:c>
      <x:c r="F3" s="12" t="str">
        <x:v>PDF</x:v>
      </x:c>
    </x:row>
    <x:row r="4">
      <x:c r="A4" s="12" t="str">
        <x:v>Lajes</x:v>
      </x:c>
      <x:c r="B4" s="12" t="str">
        <x:v>Revisar</x:v>
      </x:c>
      <x:c r="C4" s="12" t="str">
        <x:v>Alta</x:v>
      </x:c>
      <x:c r="D4" s="12" t="str">
        <x:v>Alta</x:v>
      </x:c>
      <x:c r="E4" s="12" t="str">
        <x:v>Hidráulica</x:v>
      </x:c>
      <x:c r="F4" s="12" t="str">
        <x:v>DXF</x:v>
      </x:c>
    </x:row>
    <x:row r="5">
      <x:c r="A5" s="12" t="str">
        <x:v>Fundações</x:v>
      </x:c>
      <x:c r="B5" s="12" t="str">
        <x:v>Aprovado para uso educacional</x:v>
      </x:c>
      <x:c r="C5" s="12" t="str">
        <x:v>Crítica</x:v>
      </x:c>
      <x:c r="D5" s="12" t="str">
        <x:v>Crítica</x:v>
      </x:c>
      <x:c r="E5" s="12" t="str">
        <x:v>Elétrica</x:v>
      </x:c>
      <x:c r="F5" s="12" t="str">
        <x:v>DWG</x:v>
      </x:c>
    </x:row>
    <x:row r="6">
      <x:c r="A6" s="12" t="str">
        <x:v>Muros e contenções</x:v>
      </x:c>
      <x:c r="B6" s="12" t="str">
        <x:v>Pendente validação técnica</x:v>
      </x:c>
      <x:c r="C6" s="12" t="str"/>
      <x:c r="D6" s="12" t="str"/>
      <x:c r="E6" s="12" t="str">
        <x:v>Drenagem</x:v>
      </x:c>
      <x:c r="F6" s="12" t="str">
        <x:v>MD</x:v>
      </x:c>
    </x:row>
    <x:row r="7">
      <x:c r="A7" s="12" t="str">
        <x:v>Elementos especiais</x:v>
      </x:c>
      <x:c r="B7" s="12" t="str"/>
      <x:c r="C7" s="12" t="str"/>
      <x:c r="D7" s="12" t="str"/>
      <x:c r="E7" s="12" t="str">
        <x:v>Geotecnia</x:v>
      </x:c>
      <x:c r="F7" s="12" t="str"/>
    </x:row>
    <x:row r="8">
      <x:c r="A8" s="12" t="str">
        <x:v>Metálicas e madeira</x:v>
      </x:c>
      <x:c r="B8" s="12" t="str"/>
      <x:c r="C8" s="12" t="str"/>
      <x:c r="D8" s="12" t="str"/>
      <x:c r="E8" s="12" t="str">
        <x:v>Instalações</x:v>
      </x:c>
      <x:c r="F8" s="12" t="str"/>
    </x:row>
    <x:row r="9">
      <x:c r="A9" s="12" t="str">
        <x:v>Patologias</x:v>
      </x:c>
      <x:c r="B9" s="12" t="str"/>
      <x:c r="C9" s="12" t="str"/>
      <x:c r="D9" s="12" t="str"/>
      <x:c r="E9" s="12" t="str">
        <x:v>Comercial</x:v>
      </x:c>
      <x:c r="F9" s="12" t="str"/>
    </x:row>
    <x:row r="10">
      <x:c r="A10" s="12" t="str">
        <x:v>Compatibilização</x:v>
      </x:c>
      <x:c r="B10" s="12" t="str"/>
      <x:c r="C10" s="12" t="str"/>
      <x:c r="D10" s="12" t="str"/>
      <x:c r="E10" s="12" t="str"/>
      <x:c r="F10" s="12" t="str"/>
    </x:row>
    <x:row r="11">
      <x:c r="A11" s="12" t="str">
        <x:v>Pranchas finais</x:v>
      </x:c>
      <x:c r="B11" s="12" t="str"/>
      <x:c r="C11" s="12" t="str"/>
      <x:c r="D11" s="12" t="str"/>
      <x:c r="E11" s="12" t="str"/>
      <x:c r="F11" s="12" t="str"/>
    </x:row>
  </x:sheetData>
  <x:pageMargins left="0.7" right="0.7" top="0.75" bottom="0.75" header="0.3" footer="0.3"/>
</x:worksheet>
</file>